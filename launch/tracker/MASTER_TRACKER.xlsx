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The 7 tabs</t>
        </is>
      </c>
    </row>
    <row r="10">
      <c r="A10" s="3" t="inlineStr">
        <is>
          <t>1. KPI Dashboard         — top-level daily numbers (signups, CPL, etc.)</t>
        </is>
      </c>
    </row>
    <row r="11">
      <c r="A11" s="3" t="inlineStr">
        <is>
          <t>2. Content Calendar      — every post planned + posted, with perf</t>
        </is>
      </c>
    </row>
    <row r="12">
      <c r="A12" s="3" t="inlineStr">
        <is>
          <t>3. Ad Performance        — Meta + TikTok Spark per-day per-ad</t>
        </is>
      </c>
    </row>
    <row r="13">
      <c r="A13" s="3" t="inlineStr">
        <is>
          <t>4. Channel ROI           — which channel is winning, % of total</t>
        </is>
      </c>
    </row>
    <row r="14">
      <c r="A14" s="3" t="inlineStr">
        <is>
          <t>5. Activations           — the 5 viral activations + state</t>
        </is>
      </c>
    </row>
    <row r="15">
      <c r="A15" s="3" t="inlineStr">
        <is>
          <t>6. Influencer Outreach   — the 20-DM micro-trade program</t>
        </is>
      </c>
    </row>
    <row r="16">
      <c r="A16" s="3" t="inlineStr">
        <is>
          <t>7. Pick Performance      — daily pick record (the receipts wall)</t>
        </is>
      </c>
    </row>
    <row r="17">
      <c r="A17" s="3" t="inlineStr"/>
    </row>
    <row r="18" ht="22" customHeight="1">
      <c r="A18" s="2" t="inlineStr">
        <is>
          <t>North Star</t>
        </is>
      </c>
    </row>
    <row r="19">
      <c r="A19" s="3" t="inlineStr">
        <is>
          <t>1,500 waitlist signups by May 31. Stretch target: 2,500.</t>
        </is>
      </c>
    </row>
    <row r="20">
      <c r="A20" s="3" t="inlineStr">
        <is>
          <t>Budget: $1,000 total. CPL target: &lt; $1.50.</t>
        </is>
      </c>
    </row>
    <row r="21">
      <c r="A21" s="3" t="inlineStr"/>
    </row>
    <row r="22" ht="22" customHeight="1">
      <c r="A22" s="2" t="inlineStr">
        <is>
          <t>Quick references</t>
        </is>
      </c>
    </row>
    <row r="23">
      <c r="A23" s="3" t="inlineStr">
        <is>
          <t>Strategy doc:   launch/MASTER_STRATEGY.md</t>
        </is>
      </c>
    </row>
    <row r="24">
      <c r="A24" s="3" t="inlineStr">
        <is>
          <t>Site:           https://pick1.live</t>
        </is>
      </c>
    </row>
    <row r="25">
      <c r="A25" s="3" t="inlineStr">
        <is>
          <t>FB Page:        https://www.facebook.com/profile.php?id=61589631453496</t>
        </is>
      </c>
    </row>
    <row r="26">
      <c r="A26" s="3" t="inlineStr">
        <is>
          <t>Resend domain:  pick1.live (verified)</t>
        </is>
      </c>
    </row>
    <row r="27">
      <c r="A27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</t>
        </is>
      </c>
      <c r="D3" s="8">
        <f>IFERROR(B3/C3,"")</f>
        <v/>
      </c>
      <c r="E3" s="9">
        <f>IFERROR(C3/SUM($C$3:$C$16),"")</f>
        <v/>
      </c>
    </row>
    <row r="4">
      <c r="A4" t="inlineStr">
        <is>
          <t>TikTok organic</t>
        </is>
      </c>
      <c r="D4" s="8">
        <f>IFERROR(B4/C4,"")</f>
        <v/>
      </c>
      <c r="E4" s="9">
        <f>IFERROR(C4/SUM($C$3:$C$16),"")</f>
        <v/>
      </c>
    </row>
    <row r="5">
      <c r="A5" t="inlineStr">
        <is>
          <t>TikTok Spark (paid boost)</t>
        </is>
      </c>
      <c r="D5" s="8">
        <f>IFERROR(B5/C5,"")</f>
        <v/>
      </c>
      <c r="E5" s="9">
        <f>IFERROR(C5/SUM($C$3:$C$16),"")</f>
        <v/>
      </c>
    </row>
    <row r="6">
      <c r="A6" t="inlineStr">
        <is>
          <t>X / Twitter organic</t>
        </is>
      </c>
      <c r="D6" s="8">
        <f>IFERROR(B6/C6,"")</f>
        <v/>
      </c>
      <c r="E6" s="9">
        <f>IFERROR(C6/SUM($C$3:$C$16),"")</f>
        <v/>
      </c>
    </row>
    <row r="7">
      <c r="A7" t="inlineStr">
        <is>
          <t>Instagram organic</t>
        </is>
      </c>
      <c r="D7" s="8">
        <f>IFERROR(B7/C7,"")</f>
        <v/>
      </c>
      <c r="E7" s="9">
        <f>IFERROR(C7/SUM($C$3:$C$16),"")</f>
        <v/>
      </c>
    </row>
    <row r="8">
      <c r="A8" t="inlineStr">
        <is>
          <t>Reddit</t>
        </is>
      </c>
      <c r="D8" s="8">
        <f>IFERROR(B8/C8,"")</f>
        <v/>
      </c>
      <c r="E8" s="9">
        <f>IFERROR(C8/SUM($C$3:$C$16),"")</f>
        <v/>
      </c>
    </row>
    <row r="9">
      <c r="A9" t="inlineStr">
        <is>
          <t>Influencer trades</t>
        </is>
      </c>
      <c r="D9" s="8">
        <f>IFERROR(B9/C9,"")</f>
        <v/>
      </c>
      <c r="E9" s="9">
        <f>IFERROR(C9/SUM($C$3:$C$16),"")</f>
        <v/>
      </c>
    </row>
    <row r="10">
      <c r="A10" t="inlineStr">
        <is>
          <t>ProductHunt</t>
        </is>
      </c>
      <c r="D10" s="8">
        <f>IFERROR(B10/C10,"")</f>
        <v/>
      </c>
      <c r="E10" s="9">
        <f>IFERROR(C10/SUM($C$3:$C$16),"")</f>
        <v/>
      </c>
    </row>
    <row r="11">
      <c r="A11" t="inlineStr">
        <is>
          <t>Founder essay</t>
        </is>
      </c>
      <c r="D11" s="8">
        <f>IFERROR(B11/C11,"")</f>
        <v/>
      </c>
      <c r="E11" s="9">
        <f>IFERROR(C11/SUM($C$3:$C$16),"")</f>
        <v/>
      </c>
    </row>
    <row r="12">
      <c r="A12" t="inlineStr">
        <is>
          <t>Email referrals (own list)</t>
        </is>
      </c>
      <c r="D12" s="8">
        <f>IFERROR(B12/C12,"")</f>
        <v/>
      </c>
      <c r="E12" s="9">
        <f>IFERROR(C12/SUM($C$3:$C$16),"")</f>
        <v/>
      </c>
    </row>
    <row r="13">
      <c r="A13" t="inlineStr">
        <is>
          <t>Gleam sweepstakes</t>
        </is>
      </c>
      <c r="D13" s="8">
        <f>IFERROR(B13/C13,"")</f>
        <v/>
      </c>
      <c r="E13" s="9">
        <f>IFERROR(C13/SUM($C$3:$C$16),"")</f>
        <v/>
      </c>
    </row>
    <row r="14">
      <c r="A14" t="inlineStr">
        <is>
          <t>SparkLoop newsletter cross-promo</t>
        </is>
      </c>
      <c r="D14" s="8">
        <f>IFERROR(B14/C14,"")</f>
        <v/>
      </c>
      <c r="E14" s="9">
        <f>IFERROR(C14/SUM($C$3:$C$16),"")</f>
        <v/>
      </c>
    </row>
    <row r="15">
      <c r="A15" t="inlineStr">
        <is>
          <t>Telegram channel</t>
        </is>
      </c>
      <c r="D15" s="8">
        <f>IFERROR(B15/C15,"")</f>
        <v/>
      </c>
      <c r="E15" s="9">
        <f>IFERROR(C15/SUM($C$3:$C$16),"")</f>
        <v/>
      </c>
    </row>
    <row r="16">
      <c r="A16" t="inlineStr">
        <is>
          <t>Direct / unknown</t>
        </is>
      </c>
      <c r="D16" s="8">
        <f>IFERROR(B16/C16,"")</f>
        <v/>
      </c>
      <c r="E16" s="9">
        <f>IFERROR(C16/SUM($C$3:$C$16),"")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2" customWidth="1" min="3" max="3"/>
    <col width="11" customWidth="1" min="4" max="4"/>
    <col width="28" customWidth="1" min="5" max="5"/>
    <col width="5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(live)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4 (May 16)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(5K-50K). Free year of Pro + custom ref code for honest 7-day review.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'World Cup Tickets' Sweepstakes</t>
        </is>
      </c>
      <c r="C8" t="inlineStr">
        <is>
          <t>Day 5 (May 17)</t>
        </is>
      </c>
      <c r="D8" t="inlineStr">
        <is>
          <t>Planned</t>
        </is>
      </c>
      <c r="E8" t="inlineStr">
        <is>
          <t>Claude (setup) + Noa (prize fulfillment)</t>
        </is>
      </c>
      <c r="F8" s="10" t="inlineStr">
        <is>
          <t>Prize: 2 group-stage 2026 FIFA WC tickets + Lifetime Pro (~$500). MANDATORY GATEWAY: waitlist signup required to win (zero entries otherwise). Bonus tasks layer IG +5, TikTok +5, Twitter +3, refer +10, daily +1. Runs May 17 → May 31. Embed on pick1.live.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</t>
        </is>
      </c>
    </row>
    <row r="10" ht="38" customHeight="1">
      <c r="A10" t="n">
        <v>8</v>
      </c>
      <c r="B10" t="inlineStr">
        <is>
          <t>Telegram Pre-Launch Channel</t>
        </is>
      </c>
      <c r="C10" t="inlineStr">
        <is>
          <t>Day 3 (May 15)</t>
        </is>
      </c>
      <c r="D10" t="inlineStr">
        <is>
          <t>Planned</t>
        </is>
      </c>
      <c r="E10" t="inlineStr">
        <is>
          <t>Claude (setup + webhook)</t>
        </is>
      </c>
      <c r="F10" s="10" t="inlineStr">
        <is>
          <t>Pick1 Daily Picks channel. Auto-posts via Supabase webhook at 9am ET. Member count embedded on pick1.live as social proof.</t>
        </is>
      </c>
    </row>
  </sheetData>
  <mergeCells count="1">
    <mergeCell ref="A1:F1"/>
  </mergeCells>
  <conditionalFormatting sqref="D3:D2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2">
      <formula>"Blocked"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5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5">
      <formula>"Pending"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2026-05-13T22:47:41Z</dcterms:created>
  <dcterms:modified xsi:type="dcterms:W3CDTF">2026-05-13T22:47:41Z</dcterms:modified>
</cp:coreProperties>
</file>