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· README" sheetId="1" state="visible" r:id="rId1"/>
    <sheet name="1 · KPI Dashboard" sheetId="2" state="visible" r:id="rId2"/>
    <sheet name="2 · Content Calendar" sheetId="3" state="visible" r:id="rId3"/>
    <sheet name="3 · Ad Performance" sheetId="4" state="visible" r:id="rId4"/>
    <sheet name="4 · Channel ROI" sheetId="5" state="visible" r:id="rId5"/>
    <sheet name="5 · Activations" sheetId="6" state="visible" r:id="rId6"/>
    <sheet name="6 · Influencer Outreach" sheetId="7" state="visible" r:id="rId7"/>
    <sheet name="7 · Pick Perform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0A0B0D"/>
      <sz val="11"/>
    </font>
    <font>
      <name val="Calibri"/>
      <b val="1"/>
      <color rgb="00FFFFFF"/>
      <sz val="22"/>
    </font>
    <font>
      <name val="Calibri"/>
      <b val="1"/>
      <color rgb="000A0B0D"/>
      <sz val="14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A0B0D"/>
      </patternFill>
    </fill>
    <fill>
      <patternFill patternType="solid">
        <fgColor rgb="00D4FF3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3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44" customHeight="1">
      <c r="A1" s="1" t="inlineStr">
        <is>
          <t>PICK1 · MASTER TRACKER</t>
        </is>
      </c>
    </row>
    <row r="3" ht="22" customHeight="1">
      <c r="A3" s="2" t="inlineStr">
        <is>
          <t>How to use this</t>
        </is>
      </c>
    </row>
    <row r="4">
      <c r="A4" s="3" t="inlineStr">
        <is>
          <t>This sheet is the EXECUTION log. The strategy doc (launch/MASTER_STRATEGY.md) is the plan; this is the daily-update tracker.</t>
        </is>
      </c>
    </row>
    <row r="5">
      <c r="A5" s="3" t="inlineStr"/>
    </row>
    <row r="6">
      <c r="A6" s="3" t="inlineStr">
        <is>
          <t>Update cadence: every night before bed. Takes ~3 min.</t>
        </is>
      </c>
    </row>
    <row r="7">
      <c r="A7" s="3" t="inlineStr">
        <is>
          <t>Sundays: full audit + reallocation decisions for the week ahead.</t>
        </is>
      </c>
    </row>
    <row r="8">
      <c r="A8" s="3" t="inlineStr"/>
    </row>
    <row r="9" ht="22" customHeight="1">
      <c r="A9" s="2" t="inlineStr">
        <is>
          <t>The 7 tabs</t>
        </is>
      </c>
    </row>
    <row r="10">
      <c r="A10" s="3" t="inlineStr">
        <is>
          <t>1. KPI Dashboard         — top-level daily numbers (signups, CPL, etc.)</t>
        </is>
      </c>
    </row>
    <row r="11">
      <c r="A11" s="3" t="inlineStr">
        <is>
          <t>2. Content Calendar      — every post planned + posted, with perf</t>
        </is>
      </c>
    </row>
    <row r="12">
      <c r="A12" s="3" t="inlineStr">
        <is>
          <t>3. Ad Performance        — Meta + TikTok Spark per-day per-ad</t>
        </is>
      </c>
    </row>
    <row r="13">
      <c r="A13" s="3" t="inlineStr">
        <is>
          <t>4. Channel ROI           — which channel is winning, % of total</t>
        </is>
      </c>
    </row>
    <row r="14">
      <c r="A14" s="3" t="inlineStr">
        <is>
          <t>5. Activations           — the 5 viral activations + state</t>
        </is>
      </c>
    </row>
    <row r="15">
      <c r="A15" s="3" t="inlineStr">
        <is>
          <t>6. Influencer Outreach   — the 20-DM micro-trade program</t>
        </is>
      </c>
    </row>
    <row r="16">
      <c r="A16" s="3" t="inlineStr">
        <is>
          <t>7. Pick Performance      — daily pick record (the receipts wall)</t>
        </is>
      </c>
    </row>
    <row r="17">
      <c r="A17" s="3" t="inlineStr"/>
    </row>
    <row r="18" ht="22" customHeight="1">
      <c r="A18" s="2" t="inlineStr">
        <is>
          <t>North Star</t>
        </is>
      </c>
    </row>
    <row r="19">
      <c r="A19" s="3" t="inlineStr">
        <is>
          <t>1,500 waitlist signups by May 31. Stretch target: 2,500.</t>
        </is>
      </c>
    </row>
    <row r="20">
      <c r="A20" s="3" t="inlineStr">
        <is>
          <t>Budget: $1,000 total. CPL target: &lt; $1.50.</t>
        </is>
      </c>
    </row>
    <row r="21">
      <c r="A21" s="3" t="inlineStr"/>
    </row>
    <row r="22" ht="22" customHeight="1">
      <c r="A22" s="2" t="inlineStr">
        <is>
          <t>Quick references</t>
        </is>
      </c>
    </row>
    <row r="23">
      <c r="A23" s="3" t="inlineStr">
        <is>
          <t>Strategy doc:   launch/MASTER_STRATEGY.md</t>
        </is>
      </c>
    </row>
    <row r="24">
      <c r="A24" s="3" t="inlineStr">
        <is>
          <t>Site:           https://pick1.live</t>
        </is>
      </c>
    </row>
    <row r="25">
      <c r="A25" s="3" t="inlineStr">
        <is>
          <t>FB Page:        https://www.facebook.com/profile.php?id=61589631453496</t>
        </is>
      </c>
    </row>
    <row r="26">
      <c r="A26" s="3" t="inlineStr">
        <is>
          <t>Resend domain:  pick1.live (verified)</t>
        </is>
      </c>
    </row>
    <row r="27">
      <c r="A27" s="3" t="inlineStr">
        <is>
          <t>Supabase proj:  lgnjawngkiamlngcffrk (eu-central-2)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6" customWidth="1" min="4" max="4"/>
    <col width="13" customWidth="1" min="5" max="5"/>
    <col width="18" customWidth="1" min="6" max="6"/>
    <col width="12" customWidth="1" min="7" max="7"/>
    <col width="22" customWidth="1" min="8" max="8"/>
    <col width="14" customWidth="1" min="9" max="9"/>
    <col width="18" customWidth="1" min="10" max="10"/>
    <col width="14" customWidth="1" min="11" max="11"/>
    <col width="17" customWidth="1" min="12" max="12"/>
    <col width="35" customWidth="1" min="13" max="13"/>
  </cols>
  <sheetData>
    <row r="1" ht="32" customHeight="1">
      <c r="A1" s="4" t="inlineStr">
        <is>
          <t>PICK1 · DAILY KPI DASHBOARD (May 13 → May 31)</t>
        </is>
      </c>
    </row>
    <row r="2">
      <c r="A2" s="5" t="inlineStr">
        <is>
          <t>North Star: 1,500 waitlist signups by May 31  ·  Budget: $1,000</t>
        </is>
      </c>
    </row>
    <row r="3" ht="24" customHeight="1">
      <c r="A3" s="6" t="inlineStr">
        <is>
          <t>Day</t>
        </is>
      </c>
      <c r="B3" s="6" t="inlineStr">
        <is>
          <t>Date</t>
        </is>
      </c>
      <c r="C3" s="6" t="inlineStr">
        <is>
          <t>Signups (cumulative)</t>
        </is>
      </c>
      <c r="D3" s="6" t="inlineStr">
        <is>
          <t>Signups (today)</t>
        </is>
      </c>
      <c r="E3" s="6" t="inlineStr">
        <is>
          <t>Meta $ today</t>
        </is>
      </c>
      <c r="F3" s="6" t="inlineStr">
        <is>
          <t>Meta signups today</t>
        </is>
      </c>
      <c r="G3" s="6" t="inlineStr">
        <is>
          <t>Meta CPL</t>
        </is>
      </c>
      <c r="H3" s="6" t="inlineStr">
        <is>
          <t>Organic signups today</t>
        </is>
      </c>
      <c r="I3" s="6" t="inlineStr">
        <is>
          <t>IG followers</t>
        </is>
      </c>
      <c r="J3" s="6" t="inlineStr">
        <is>
          <t>TikTok followers</t>
        </is>
      </c>
      <c r="K3" s="6" t="inlineStr">
        <is>
          <t>Email open %</t>
        </is>
      </c>
      <c r="L3" s="6" t="inlineStr">
        <is>
          <t>Referral shares</t>
        </is>
      </c>
      <c r="M3" s="6" t="inlineStr">
        <is>
          <t>Notes</t>
        </is>
      </c>
    </row>
    <row r="4">
      <c r="A4" t="inlineStr">
        <is>
          <t>Day 1</t>
        </is>
      </c>
      <c r="B4" s="7" t="n">
        <v>46155</v>
      </c>
      <c r="C4" t="n">
        <v>1</v>
      </c>
      <c r="D4" t="n">
        <v>1</v>
      </c>
      <c r="G4" s="8">
        <f>IFERROR(E4/F4,"")</f>
        <v/>
      </c>
    </row>
    <row r="5">
      <c r="A5" t="inlineStr">
        <is>
          <t>Day 2</t>
        </is>
      </c>
      <c r="B5" s="7" t="n">
        <v>46156</v>
      </c>
      <c r="G5" s="8">
        <f>IFERROR(E5/F5,"")</f>
        <v/>
      </c>
    </row>
    <row r="6">
      <c r="A6" t="inlineStr">
        <is>
          <t>Day 3</t>
        </is>
      </c>
      <c r="B6" s="7" t="n">
        <v>46157</v>
      </c>
      <c r="G6" s="8">
        <f>IFERROR(E6/F6,"")</f>
        <v/>
      </c>
    </row>
    <row r="7">
      <c r="A7" t="inlineStr">
        <is>
          <t>Day 4</t>
        </is>
      </c>
      <c r="B7" s="7" t="n">
        <v>46158</v>
      </c>
      <c r="G7" s="8">
        <f>IFERROR(E7/F7,"")</f>
        <v/>
      </c>
    </row>
    <row r="8">
      <c r="A8" t="inlineStr">
        <is>
          <t>Day 5</t>
        </is>
      </c>
      <c r="B8" s="7" t="n">
        <v>46159</v>
      </c>
      <c r="G8" s="8">
        <f>IFERROR(E8/F8,"")</f>
        <v/>
      </c>
    </row>
    <row r="9">
      <c r="A9" t="inlineStr">
        <is>
          <t>Day 6</t>
        </is>
      </c>
      <c r="B9" s="7" t="n">
        <v>46160</v>
      </c>
      <c r="G9" s="8">
        <f>IFERROR(E9/F9,"")</f>
        <v/>
      </c>
    </row>
    <row r="10">
      <c r="A10" t="inlineStr">
        <is>
          <t>Day 7</t>
        </is>
      </c>
      <c r="B10" s="7" t="n">
        <v>46161</v>
      </c>
      <c r="G10" s="8">
        <f>IFERROR(E10/F10,"")</f>
        <v/>
      </c>
    </row>
    <row r="11">
      <c r="A11" t="inlineStr">
        <is>
          <t>Day 8</t>
        </is>
      </c>
      <c r="B11" s="7" t="n">
        <v>46162</v>
      </c>
      <c r="G11" s="8">
        <f>IFERROR(E11/F11,"")</f>
        <v/>
      </c>
    </row>
    <row r="12">
      <c r="A12" t="inlineStr">
        <is>
          <t>Day 9</t>
        </is>
      </c>
      <c r="B12" s="7" t="n">
        <v>46163</v>
      </c>
      <c r="G12" s="8">
        <f>IFERROR(E12/F12,"")</f>
        <v/>
      </c>
    </row>
    <row r="13">
      <c r="A13" t="inlineStr">
        <is>
          <t>Day 10</t>
        </is>
      </c>
      <c r="B13" s="7" t="n">
        <v>46164</v>
      </c>
      <c r="G13" s="8">
        <f>IFERROR(E13/F13,"")</f>
        <v/>
      </c>
    </row>
    <row r="14">
      <c r="A14" t="inlineStr">
        <is>
          <t>Day 11</t>
        </is>
      </c>
      <c r="B14" s="7" t="n">
        <v>46165</v>
      </c>
      <c r="G14" s="8">
        <f>IFERROR(E14/F14,"")</f>
        <v/>
      </c>
    </row>
    <row r="15">
      <c r="A15" t="inlineStr">
        <is>
          <t>Day 12</t>
        </is>
      </c>
      <c r="B15" s="7" t="n">
        <v>46166</v>
      </c>
      <c r="G15" s="8">
        <f>IFERROR(E15/F15,"")</f>
        <v/>
      </c>
    </row>
    <row r="16">
      <c r="A16" t="inlineStr">
        <is>
          <t>Day 13</t>
        </is>
      </c>
      <c r="B16" s="7" t="n">
        <v>46167</v>
      </c>
      <c r="G16" s="8">
        <f>IFERROR(E16/F16,"")</f>
        <v/>
      </c>
    </row>
    <row r="17">
      <c r="A17" t="inlineStr">
        <is>
          <t>Day 14</t>
        </is>
      </c>
      <c r="B17" s="7" t="n">
        <v>46168</v>
      </c>
      <c r="G17" s="8">
        <f>IFERROR(E17/F17,"")</f>
        <v/>
      </c>
    </row>
    <row r="18">
      <c r="A18" t="inlineStr">
        <is>
          <t>Day 15</t>
        </is>
      </c>
      <c r="B18" s="7" t="n">
        <v>46169</v>
      </c>
      <c r="G18" s="8">
        <f>IFERROR(E18/F18,"")</f>
        <v/>
      </c>
    </row>
    <row r="19">
      <c r="A19" t="inlineStr">
        <is>
          <t>Day 16</t>
        </is>
      </c>
      <c r="B19" s="7" t="n">
        <v>46170</v>
      </c>
      <c r="G19" s="8">
        <f>IFERROR(E19/F19,"")</f>
        <v/>
      </c>
    </row>
    <row r="20">
      <c r="A20" t="inlineStr">
        <is>
          <t>Day 17</t>
        </is>
      </c>
      <c r="B20" s="7" t="n">
        <v>46171</v>
      </c>
      <c r="G20" s="8">
        <f>IFERROR(E20/F20,"")</f>
        <v/>
      </c>
    </row>
    <row r="21">
      <c r="A21" t="inlineStr">
        <is>
          <t>Day 18</t>
        </is>
      </c>
      <c r="B21" s="7" t="n">
        <v>46172</v>
      </c>
      <c r="G21" s="8">
        <f>IFERROR(E21/F21,"")</f>
        <v/>
      </c>
    </row>
    <row r="22">
      <c r="A22" t="inlineStr">
        <is>
          <t>Day 19</t>
        </is>
      </c>
      <c r="B22" s="7" t="n">
        <v>46173</v>
      </c>
      <c r="G22" s="8">
        <f>IFERROR(E22/F22,"")</f>
        <v/>
      </c>
    </row>
  </sheetData>
  <mergeCells count="2">
    <mergeCell ref="A2:M2"/>
    <mergeCell ref="A1:M1"/>
  </mergeCells>
  <conditionalFormatting sqref="G4:G22">
    <cfRule type="cellIs" priority="1" operator="lessThan" dxfId="0">
      <formula>1.5</formula>
    </cfRule>
    <cfRule type="cellIs" priority="2" operator="between" dxfId="1">
      <formula>1.5</formula>
      <formula>3</formula>
    </cfRule>
    <cfRule type="cellIs" priority="3" operator="greaterThan" dxfId="2">
      <formula>3</formula>
    </cfRule>
  </conditionalFormatting>
  <conditionalFormatting sqref="C4:C22">
    <cfRule type="colorScale" priority="4">
      <colorScale>
        <cfvo type="num" val="0"/>
        <cfvo type="num" val="750"/>
        <cfvo type="num" val="15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42" customWidth="1" min="5" max="5"/>
    <col width="11" customWidth="1" min="6" max="6"/>
    <col width="28" customWidth="1" min="7" max="7"/>
    <col width="9" customWidth="1" min="8" max="8"/>
    <col width="9" customWidth="1" min="9" max="9"/>
    <col width="9" customWidth="1" min="10" max="10"/>
    <col width="18" customWidth="1" min="11" max="11"/>
  </cols>
  <sheetData>
    <row r="1" ht="32" customHeight="1">
      <c r="A1" s="4" t="inlineStr">
        <is>
          <t>CONTENT CALENDAR — every post across every channel</t>
        </is>
      </c>
    </row>
    <row r="2" ht="24" customHeight="1">
      <c r="A2" s="6" t="inlineStr">
        <is>
          <t>Date</t>
        </is>
      </c>
      <c r="B2" s="6" t="inlineStr">
        <is>
          <t>Channel</t>
        </is>
      </c>
      <c r="C2" s="6" t="inlineStr">
        <is>
          <t>Format</t>
        </is>
      </c>
      <c r="D2" s="6" t="inlineStr">
        <is>
          <t>Pillar</t>
        </is>
      </c>
      <c r="E2" s="6" t="inlineStr">
        <is>
          <t>Topic / Hook</t>
        </is>
      </c>
      <c r="F2" s="6" t="inlineStr">
        <is>
          <t>Status</t>
        </is>
      </c>
      <c r="G2" s="6" t="inlineStr">
        <is>
          <t>URL</t>
        </is>
      </c>
      <c r="H2" s="6" t="inlineStr">
        <is>
          <t>Views</t>
        </is>
      </c>
      <c r="I2" s="6" t="inlineStr">
        <is>
          <t>Likes</t>
        </is>
      </c>
      <c r="J2" s="6" t="inlineStr">
        <is>
          <t>Shares</t>
        </is>
      </c>
      <c r="K2" s="6" t="inlineStr">
        <is>
          <t>Signups attributed</t>
        </is>
      </c>
    </row>
    <row r="3">
      <c r="A3" s="7" t="inlineStr">
        <is>
          <t>2026-05-13</t>
        </is>
      </c>
      <c r="B3" t="inlineStr">
        <is>
          <t>TikTok</t>
        </is>
      </c>
      <c r="C3" t="inlineStr">
        <is>
          <t>Reel</t>
        </is>
      </c>
      <c r="D3" t="inlineStr">
        <is>
          <t>Receipt</t>
        </is>
      </c>
      <c r="E3" t="inlineStr">
        <is>
          <t>Yesterday 2-1 (SAS 126-97 lock)</t>
        </is>
      </c>
      <c r="F3" t="inlineStr">
        <is>
          <t>Drafted</t>
        </is>
      </c>
      <c r="G3" t="inlineStr"/>
      <c r="H3" t="n">
        <v>0</v>
      </c>
      <c r="I3" t="n">
        <v>0</v>
      </c>
      <c r="J3" t="n">
        <v>0</v>
      </c>
      <c r="K3" t="n">
        <v>0</v>
      </c>
    </row>
    <row r="4">
      <c r="A4" s="7" t="inlineStr">
        <is>
          <t>2026-05-13</t>
        </is>
      </c>
      <c r="B4" t="inlineStr">
        <is>
          <t>TikTok</t>
        </is>
      </c>
      <c r="C4" t="inlineStr">
        <is>
          <t>Reel</t>
        </is>
      </c>
      <c r="D4" t="inlineStr">
        <is>
          <t>Daily Pick</t>
        </is>
      </c>
      <c r="E4" t="inlineStr">
        <is>
          <t>Tonight's lock: MCI 81.2% confidence</t>
        </is>
      </c>
      <c r="F4" t="inlineStr">
        <is>
          <t>Drafted</t>
        </is>
      </c>
      <c r="G4" t="inlineStr"/>
      <c r="H4" t="n">
        <v>0</v>
      </c>
      <c r="I4" t="n">
        <v>0</v>
      </c>
      <c r="J4" t="n">
        <v>0</v>
      </c>
      <c r="K4" t="n">
        <v>0</v>
      </c>
    </row>
    <row r="5">
      <c r="A5" s="7" t="inlineStr">
        <is>
          <t>2026-05-13</t>
        </is>
      </c>
      <c r="B5" t="inlineStr">
        <is>
          <t>IG</t>
        </is>
      </c>
      <c r="C5" t="inlineStr">
        <is>
          <t>Static</t>
        </is>
      </c>
      <c r="D5" t="inlineStr">
        <is>
          <t>Receipt</t>
        </is>
      </c>
      <c r="E5" t="inlineStr">
        <is>
          <t>Post #2: SAS 126-97 bold static</t>
        </is>
      </c>
      <c r="F5" t="inlineStr">
        <is>
          <t>To render</t>
        </is>
      </c>
      <c r="G5" t="inlineStr"/>
      <c r="H5" t="n">
        <v>0</v>
      </c>
      <c r="I5" t="n">
        <v>0</v>
      </c>
      <c r="J5" t="n">
        <v>0</v>
      </c>
      <c r="K5" t="n">
        <v>0</v>
      </c>
    </row>
    <row r="6">
      <c r="A6" s="7" t="inlineStr">
        <is>
          <t>2026-05-13</t>
        </is>
      </c>
      <c r="B6" t="inlineStr">
        <is>
          <t>IG</t>
        </is>
      </c>
      <c r="C6" t="inlineStr">
        <is>
          <t>Story</t>
        </is>
      </c>
      <c r="D6" t="inlineStr">
        <is>
          <t>Daily Pick</t>
        </is>
      </c>
      <c r="E6" t="inlineStr">
        <is>
          <t>Pick locked 🔒 (link sticker)</t>
        </is>
      </c>
      <c r="F6" t="inlineStr">
        <is>
          <t>Drafted</t>
        </is>
      </c>
      <c r="G6" t="inlineStr"/>
      <c r="H6" t="n">
        <v>0</v>
      </c>
      <c r="I6" t="n">
        <v>0</v>
      </c>
      <c r="J6" t="n">
        <v>0</v>
      </c>
      <c r="K6" t="n">
        <v>0</v>
      </c>
    </row>
    <row r="7">
      <c r="A7" s="7" t="inlineStr">
        <is>
          <t>2026-05-13</t>
        </is>
      </c>
      <c r="B7" t="inlineStr">
        <is>
          <t>Twitter</t>
        </is>
      </c>
      <c r="C7" t="inlineStr">
        <is>
          <t>Tweet</t>
        </is>
      </c>
      <c r="D7" t="inlineStr">
        <is>
          <t>Receipt</t>
        </is>
      </c>
      <c r="E7" t="inlineStr">
        <is>
          <t>Yesterday: SAS 126-97 + tonight tease</t>
        </is>
      </c>
      <c r="F7" t="inlineStr">
        <is>
          <t>Drafted</t>
        </is>
      </c>
      <c r="G7" t="inlineStr"/>
      <c r="H7" t="n">
        <v>0</v>
      </c>
      <c r="I7" t="n">
        <v>0</v>
      </c>
      <c r="J7" t="n">
        <v>0</v>
      </c>
      <c r="K7" t="n">
        <v>0</v>
      </c>
    </row>
    <row r="8">
      <c r="A8" s="7" t="inlineStr">
        <is>
          <t>2026-05-13</t>
        </is>
      </c>
      <c r="B8" t="inlineStr">
        <is>
          <t>Twitter</t>
        </is>
      </c>
      <c r="C8" t="inlineStr">
        <is>
          <t>Tweet</t>
        </is>
      </c>
      <c r="D8" t="inlineStr">
        <is>
          <t>Daily Pick</t>
        </is>
      </c>
      <c r="E8" t="inlineStr">
        <is>
          <t>3pm: MCI lock reveal</t>
        </is>
      </c>
      <c r="F8" t="inlineStr">
        <is>
          <t>Scheduled</t>
        </is>
      </c>
      <c r="G8" t="inlineStr"/>
      <c r="H8" t="n">
        <v>0</v>
      </c>
      <c r="I8" t="n">
        <v>0</v>
      </c>
      <c r="J8" t="n">
        <v>0</v>
      </c>
      <c r="K8" t="n">
        <v>0</v>
      </c>
    </row>
    <row r="9">
      <c r="A9" s="7" t="inlineStr">
        <is>
          <t>2026-05-13</t>
        </is>
      </c>
      <c r="B9" t="inlineStr">
        <is>
          <t>Reddit</t>
        </is>
      </c>
      <c r="C9" t="inlineStr">
        <is>
          <t>Comment</t>
        </is>
      </c>
      <c r="D9" t="inlineStr">
        <is>
          <t>Receipt</t>
        </is>
      </c>
      <c r="E9" t="inlineStr">
        <is>
          <t>r/sportsbook daily-talk thread</t>
        </is>
      </c>
      <c r="F9" t="inlineStr">
        <is>
          <t>Drafted</t>
        </is>
      </c>
      <c r="G9" t="inlineStr"/>
      <c r="H9" t="n">
        <v>0</v>
      </c>
      <c r="I9" t="n">
        <v>0</v>
      </c>
      <c r="J9" t="n">
        <v>0</v>
      </c>
      <c r="K9" t="n">
        <v>0</v>
      </c>
    </row>
    <row r="10">
      <c r="A10" s="7" t="inlineStr">
        <is>
          <t>2026-05-13</t>
        </is>
      </c>
      <c r="B10" t="inlineStr">
        <is>
          <t>Meta</t>
        </is>
      </c>
      <c r="C10" t="inlineStr">
        <is>
          <t>Static Ad</t>
        </is>
      </c>
      <c r="D10" t="inlineStr">
        <is>
          <t>Receipt</t>
        </is>
      </c>
      <c r="E10" t="inlineStr">
        <is>
          <t>Ad 1: 'Yesterday: Spurs 126-97 ✓'</t>
        </is>
      </c>
      <c r="F10" t="inlineStr">
        <is>
          <t>To render</t>
        </is>
      </c>
      <c r="G10" t="inlineStr"/>
      <c r="H10" t="n">
        <v>0</v>
      </c>
      <c r="I10" t="n">
        <v>0</v>
      </c>
      <c r="J10" t="n">
        <v>0</v>
      </c>
      <c r="K10" t="n">
        <v>0</v>
      </c>
    </row>
    <row r="11">
      <c r="A11" s="7" t="inlineStr">
        <is>
          <t>2026-05-13</t>
        </is>
      </c>
      <c r="B11" t="inlineStr">
        <is>
          <t>Meta</t>
        </is>
      </c>
      <c r="C11" t="inlineStr">
        <is>
          <t>Static Ad</t>
        </is>
      </c>
      <c r="D11" t="inlineStr">
        <is>
          <t>Daily Pick</t>
        </is>
      </c>
      <c r="E11" t="inlineStr">
        <is>
          <t>Ad 2: 'Tonight's lock 81.2%'</t>
        </is>
      </c>
      <c r="F11" t="inlineStr">
        <is>
          <t>To render</t>
        </is>
      </c>
      <c r="G11" t="inlineStr"/>
      <c r="H11" t="n">
        <v>0</v>
      </c>
      <c r="I11" t="n">
        <v>0</v>
      </c>
      <c r="J11" t="n">
        <v>0</v>
      </c>
      <c r="K11" t="n">
        <v>0</v>
      </c>
    </row>
    <row r="12">
      <c r="A12" s="7" t="inlineStr">
        <is>
          <t>2026-05-13</t>
        </is>
      </c>
      <c r="B12" t="inlineStr">
        <is>
          <t>Meta</t>
        </is>
      </c>
      <c r="C12" t="inlineStr">
        <is>
          <t>Static Ad</t>
        </is>
      </c>
      <c r="D12" t="inlineStr">
        <is>
          <t>Positioning</t>
        </is>
      </c>
      <c r="E12" t="inlineStr">
        <is>
          <t>Ad 3: 'One pick · 9 sports'</t>
        </is>
      </c>
      <c r="F12" t="inlineStr">
        <is>
          <t>To render</t>
        </is>
      </c>
      <c r="G12" t="inlineStr"/>
      <c r="H12" t="n">
        <v>0</v>
      </c>
      <c r="I12" t="n">
        <v>0</v>
      </c>
      <c r="J12" t="n">
        <v>0</v>
      </c>
      <c r="K12" t="n">
        <v>0</v>
      </c>
    </row>
  </sheetData>
  <mergeCells count="1">
    <mergeCell ref="A1:K1"/>
  </mergeCells>
  <conditionalFormatting sqref="F3:F212">
    <cfRule type="cellIs" priority="1" operator="equal" dxfId="0">
      <formula>"Posted"</formula>
    </cfRule>
    <cfRule type="cellIs" priority="2" operator="equal" dxfId="1">
      <formula>"Scheduled"</formula>
    </cfRule>
    <cfRule type="cellIs" priority="3" operator="equal" dxfId="3">
      <formula>"Drafted"</formula>
    </cfRule>
    <cfRule type="cellIs" priority="4" operator="equal" dxfId="4">
      <formula>"To render"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5" customWidth="1" min="4" max="4"/>
    <col width="10" customWidth="1" min="5" max="5"/>
    <col width="13" customWidth="1" min="6" max="6"/>
    <col width="9" customWidth="1" min="7" max="7"/>
    <col width="10" customWidth="1" min="8" max="8"/>
    <col width="13" customWidth="1" min="9" max="9"/>
    <col width="10" customWidth="1" min="10" max="10"/>
  </cols>
  <sheetData>
    <row r="1" ht="32" customHeight="1">
      <c r="A1" s="4" t="inlineStr">
        <is>
          <t>AD PERFORMANCE — Meta + TikTok Spark, day-by-day</t>
        </is>
      </c>
    </row>
    <row r="2" ht="24" customHeight="1">
      <c r="A2" s="6" t="inlineStr">
        <is>
          <t>Date</t>
        </is>
      </c>
      <c r="B2" s="6" t="inlineStr">
        <is>
          <t>Platform</t>
        </is>
      </c>
      <c r="C2" s="6" t="inlineStr">
        <is>
          <t>Campaign</t>
        </is>
      </c>
      <c r="D2" s="6" t="inlineStr">
        <is>
          <t>Ad / Creative</t>
        </is>
      </c>
      <c r="E2" s="6" t="inlineStr">
        <is>
          <t>Spend</t>
        </is>
      </c>
      <c r="F2" s="6" t="inlineStr">
        <is>
          <t>Impressions</t>
        </is>
      </c>
      <c r="G2" s="6" t="inlineStr">
        <is>
          <t>Clicks</t>
        </is>
      </c>
      <c r="H2" s="6" t="inlineStr">
        <is>
          <t>CPC</t>
        </is>
      </c>
      <c r="I2" s="6" t="inlineStr">
        <is>
          <t>Conversions</t>
        </is>
      </c>
      <c r="J2" s="6" t="inlineStr">
        <is>
          <t>CPL</t>
        </is>
      </c>
    </row>
    <row r="3">
      <c r="A3" s="7" t="n">
        <v>46155</v>
      </c>
      <c r="B3" t="inlineStr">
        <is>
          <t>Meta</t>
        </is>
      </c>
      <c r="C3" t="inlineStr">
        <is>
          <t>LEAD-US-broad-20260513</t>
        </is>
      </c>
      <c r="D3" t="inlineStr">
        <is>
          <t>Ad: Receipts</t>
        </is>
      </c>
      <c r="H3" s="8">
        <f>IFERROR(E3/G3,"")</f>
        <v/>
      </c>
      <c r="J3" s="8">
        <f>IFERROR(E3/I3,"")</f>
        <v/>
      </c>
    </row>
    <row r="4">
      <c r="A4" s="7" t="n">
        <v>46155</v>
      </c>
      <c r="B4" t="inlineStr">
        <is>
          <t>Meta</t>
        </is>
      </c>
      <c r="C4" t="inlineStr">
        <is>
          <t>LEAD-US-broad-20260513</t>
        </is>
      </c>
      <c r="D4" t="inlineStr">
        <is>
          <t>Ad: Lock</t>
        </is>
      </c>
      <c r="H4" s="8">
        <f>IFERROR(E4/G4,"")</f>
        <v/>
      </c>
      <c r="J4" s="8">
        <f>IFERROR(E4/I4,"")</f>
        <v/>
      </c>
    </row>
    <row r="5">
      <c r="A5" s="7" t="n">
        <v>46155</v>
      </c>
      <c r="B5" t="inlineStr">
        <is>
          <t>Meta</t>
        </is>
      </c>
      <c r="C5" t="inlineStr">
        <is>
          <t>LEAD-US-broad-20260513</t>
        </is>
      </c>
      <c r="D5" t="inlineStr">
        <is>
          <t>Ad: Positioning</t>
        </is>
      </c>
      <c r="H5" s="8">
        <f>IFERROR(E5/G5,"")</f>
        <v/>
      </c>
      <c r="J5" s="8">
        <f>IFERROR(E5/I5,"")</f>
        <v/>
      </c>
    </row>
  </sheetData>
  <mergeCells count="1">
    <mergeCell ref="A1:J1"/>
  </mergeCells>
  <conditionalFormatting sqref="J3:J500">
    <cfRule type="cellIs" priority="1" operator="lessThan" dxfId="0">
      <formula>1.5</formula>
    </cfRule>
    <cfRule type="cellIs" priority="2" operator="greaterThan" dxfId="2">
      <formula>3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9" customWidth="1" min="4" max="4"/>
    <col width="20" customWidth="1" min="5" max="5"/>
    <col width="40" customWidth="1" min="6" max="6"/>
  </cols>
  <sheetData>
    <row r="1" ht="32" customHeight="1">
      <c r="A1" s="4" t="inlineStr">
        <is>
          <t>CHANNEL ROI — where are signups actually coming from?</t>
        </is>
      </c>
    </row>
    <row r="2" ht="24" customHeight="1">
      <c r="A2" s="6" t="inlineStr">
        <is>
          <t>Channel</t>
        </is>
      </c>
      <c r="B2" s="6" t="inlineStr">
        <is>
          <t>$ Spent</t>
        </is>
      </c>
      <c r="C2" s="6" t="inlineStr">
        <is>
          <t>Signups</t>
        </is>
      </c>
      <c r="D2" s="6" t="inlineStr">
        <is>
          <t>CPL</t>
        </is>
      </c>
      <c r="E2" s="6" t="inlineStr">
        <is>
          <t>% of total signups</t>
        </is>
      </c>
      <c r="F2" s="6" t="inlineStr">
        <is>
          <t>Notes</t>
        </is>
      </c>
    </row>
    <row r="3">
      <c r="A3" t="inlineStr">
        <is>
          <t>Meta Ads</t>
        </is>
      </c>
      <c r="D3" s="8">
        <f>IFERROR(B3/C3,"")</f>
        <v/>
      </c>
      <c r="E3" s="9">
        <f>IFERROR(C3/SUM($C$3:$C$13),"")</f>
        <v/>
      </c>
    </row>
    <row r="4">
      <c r="A4" t="inlineStr">
        <is>
          <t>TikTok organic</t>
        </is>
      </c>
      <c r="D4" s="8">
        <f>IFERROR(B4/C4,"")</f>
        <v/>
      </c>
      <c r="E4" s="9">
        <f>IFERROR(C4/SUM($C$3:$C$13),"")</f>
        <v/>
      </c>
    </row>
    <row r="5">
      <c r="A5" t="inlineStr">
        <is>
          <t>TikTok Spark (paid boost)</t>
        </is>
      </c>
      <c r="D5" s="8">
        <f>IFERROR(B5/C5,"")</f>
        <v/>
      </c>
      <c r="E5" s="9">
        <f>IFERROR(C5/SUM($C$3:$C$13),"")</f>
        <v/>
      </c>
    </row>
    <row r="6">
      <c r="A6" t="inlineStr">
        <is>
          <t>X / Twitter organic</t>
        </is>
      </c>
      <c r="D6" s="8">
        <f>IFERROR(B6/C6,"")</f>
        <v/>
      </c>
      <c r="E6" s="9">
        <f>IFERROR(C6/SUM($C$3:$C$13),"")</f>
        <v/>
      </c>
    </row>
    <row r="7">
      <c r="A7" t="inlineStr">
        <is>
          <t>Instagram organic</t>
        </is>
      </c>
      <c r="D7" s="8">
        <f>IFERROR(B7/C7,"")</f>
        <v/>
      </c>
      <c r="E7" s="9">
        <f>IFERROR(C7/SUM($C$3:$C$13),"")</f>
        <v/>
      </c>
    </row>
    <row r="8">
      <c r="A8" t="inlineStr">
        <is>
          <t>Reddit</t>
        </is>
      </c>
      <c r="D8" s="8">
        <f>IFERROR(B8/C8,"")</f>
        <v/>
      </c>
      <c r="E8" s="9">
        <f>IFERROR(C8/SUM($C$3:$C$13),"")</f>
        <v/>
      </c>
    </row>
    <row r="9">
      <c r="A9" t="inlineStr">
        <is>
          <t>Influencer trades</t>
        </is>
      </c>
      <c r="D9" s="8">
        <f>IFERROR(B9/C9,"")</f>
        <v/>
      </c>
      <c r="E9" s="9">
        <f>IFERROR(C9/SUM($C$3:$C$13),"")</f>
        <v/>
      </c>
    </row>
    <row r="10">
      <c r="A10" t="inlineStr">
        <is>
          <t>ProductHunt</t>
        </is>
      </c>
      <c r="D10" s="8">
        <f>IFERROR(B10/C10,"")</f>
        <v/>
      </c>
      <c r="E10" s="9">
        <f>IFERROR(C10/SUM($C$3:$C$13),"")</f>
        <v/>
      </c>
    </row>
    <row r="11">
      <c r="A11" t="inlineStr">
        <is>
          <t>Founder essay</t>
        </is>
      </c>
      <c r="D11" s="8">
        <f>IFERROR(B11/C11,"")</f>
        <v/>
      </c>
      <c r="E11" s="9">
        <f>IFERROR(C11/SUM($C$3:$C$13),"")</f>
        <v/>
      </c>
    </row>
    <row r="12">
      <c r="A12" t="inlineStr">
        <is>
          <t>Email referrals (own list)</t>
        </is>
      </c>
      <c r="D12" s="8">
        <f>IFERROR(B12/C12,"")</f>
        <v/>
      </c>
      <c r="E12" s="9">
        <f>IFERROR(C12/SUM($C$3:$C$13),"")</f>
        <v/>
      </c>
    </row>
    <row r="13">
      <c r="A13" t="inlineStr">
        <is>
          <t>Direct / unknown</t>
        </is>
      </c>
      <c r="D13" s="8">
        <f>IFERROR(B13/C13,"")</f>
        <v/>
      </c>
      <c r="E13" s="9">
        <f>IFERROR(C13/SUM($C$3:$C$13),"")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11" customWidth="1" min="4" max="4"/>
    <col width="28" customWidth="1" min="5" max="5"/>
    <col width="55" customWidth="1" min="6" max="6"/>
  </cols>
  <sheetData>
    <row r="1" ht="32" customHeight="1">
      <c r="A1" s="4" t="inlineStr">
        <is>
          <t>VIRAL ACTIVATIONS — the 5 plays + status</t>
        </is>
      </c>
    </row>
    <row r="2" ht="24" customHeight="1">
      <c r="A2" s="6" t="inlineStr">
        <is>
          <t>#</t>
        </is>
      </c>
      <c r="B2" s="6" t="inlineStr">
        <is>
          <t>Activation</t>
        </is>
      </c>
      <c r="C2" s="6" t="inlineStr">
        <is>
          <t>Target launch</t>
        </is>
      </c>
      <c r="D2" s="6" t="inlineStr">
        <is>
          <t>Status</t>
        </is>
      </c>
      <c r="E2" s="6" t="inlineStr">
        <is>
          <t>Owner</t>
        </is>
      </c>
      <c r="F2" s="6" t="inlineStr">
        <is>
          <t>Notes</t>
        </is>
      </c>
    </row>
    <row r="3" ht="38" customHeight="1">
      <c r="A3" t="n">
        <v>1</v>
      </c>
      <c r="B3" t="inlineStr">
        <is>
          <t>Position-jumping referral</t>
        </is>
      </c>
      <c r="C3" t="inlineStr">
        <is>
          <t>Day 1 (live)</t>
        </is>
      </c>
      <c r="D3" t="inlineStr">
        <is>
          <t>LIVE</t>
        </is>
      </c>
      <c r="E3" t="inlineStr">
        <is>
          <t>Claude</t>
        </is>
      </c>
      <c r="F3" s="10" t="inlineStr">
        <is>
          <t>Every signup gets pick1.live/?r=&lt;code&gt;. +100 positions per ref. 3 / 10 / 25 reward tiers.</t>
        </is>
      </c>
    </row>
    <row r="4" ht="38" customHeight="1">
      <c r="A4" t="n">
        <v>2</v>
      </c>
      <c r="B4" t="inlineStr">
        <is>
          <t>Public Accountability Bet</t>
        </is>
      </c>
      <c r="C4" t="inlineStr">
        <is>
          <t>Day 8 (May 20)</t>
        </is>
      </c>
      <c r="D4" t="inlineStr">
        <is>
          <t>Planned</t>
        </is>
      </c>
      <c r="E4" t="inlineStr">
        <is>
          <t>Noa</t>
        </is>
      </c>
      <c r="F4" s="10" t="inlineStr">
        <is>
          <t>'If locks lose at &lt; 60% over 30 days, first paid month refunded.' Needs public dashboard.</t>
        </is>
      </c>
    </row>
    <row r="5" ht="38" customHeight="1">
      <c r="A5" t="n">
        <v>3</v>
      </c>
      <c r="B5" t="inlineStr">
        <is>
          <t>Beat the AI challenge</t>
        </is>
      </c>
      <c r="C5" t="inlineStr">
        <is>
          <t>Day 18 (May 30)</t>
        </is>
      </c>
      <c r="D5" t="inlineStr">
        <is>
          <t>Planned</t>
        </is>
      </c>
      <c r="E5" t="inlineStr">
        <is>
          <t>Claude (build) + Noa (launch)</t>
        </is>
      </c>
      <c r="F5" s="10" t="inlineStr">
        <is>
          <t>Twitter hashtag #BeatPick1. Weekly leaderboard. Winner gets year of Pro.</t>
        </is>
      </c>
    </row>
    <row r="6" ht="38" customHeight="1">
      <c r="A6" t="n">
        <v>4</v>
      </c>
      <c r="B6" t="inlineStr">
        <is>
          <t>Influencer trade program</t>
        </is>
      </c>
      <c r="C6" t="inlineStr">
        <is>
          <t>Day 4 (May 16)</t>
        </is>
      </c>
      <c r="D6" t="inlineStr">
        <is>
          <t>Planned</t>
        </is>
      </c>
      <c r="E6" t="inlineStr">
        <is>
          <t>Noa (DMs) + Claude (list)</t>
        </is>
      </c>
      <c r="F6" s="10" t="inlineStr">
        <is>
          <t>DM 20 micro-influencers (5K-50K). Free year of Pro + custom ref code for honest 7-day review.</t>
        </is>
      </c>
    </row>
    <row r="7" ht="38" customHeight="1">
      <c r="A7" t="n">
        <v>5</v>
      </c>
      <c r="B7" t="inlineStr">
        <is>
          <t>Founder story drop</t>
        </is>
      </c>
      <c r="C7" t="inlineStr">
        <is>
          <t>Day 14-15 (May 26-27)</t>
        </is>
      </c>
      <c r="D7" t="inlineStr">
        <is>
          <t>Planned</t>
        </is>
      </c>
      <c r="E7" t="inlineStr">
        <is>
          <t>Noa (record) + Claude (cross-post)</t>
        </is>
      </c>
      <c r="F7" s="10" t="inlineStr">
        <is>
          <t>Coordinated multi-platform 'how I built this' content. Twitter thread + TikTok + IG + Substack.</t>
        </is>
      </c>
    </row>
  </sheetData>
  <mergeCells count="1">
    <mergeCell ref="A1:F1"/>
  </mergeCells>
  <conditionalFormatting sqref="D3:D20">
    <cfRule type="cellIs" priority="1" operator="equal" dxfId="0">
      <formula>"LIVE"</formula>
    </cfRule>
    <cfRule type="cellIs" priority="2" operator="equal" dxfId="1">
      <formula>"Planned"</formula>
    </cfRule>
    <cfRule type="cellIs" priority="3" operator="equal" dxfId="2">
      <formula>"Blocked"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22" customWidth="1" min="4" max="4"/>
    <col width="11" customWidth="1" min="5" max="5"/>
    <col width="13" customWidth="1" min="6" max="6"/>
    <col width="26" customWidth="1" min="7" max="7"/>
    <col width="9" customWidth="1" min="8" max="8"/>
    <col width="17" customWidth="1" min="9" max="9"/>
    <col width="30" customWidth="1" min="10" max="10"/>
  </cols>
  <sheetData>
    <row r="1" ht="32" customHeight="1">
      <c r="A1" s="4" t="inlineStr">
        <is>
          <t>INFLUENCER OUTREACH — 20-DM micro-trade program</t>
        </is>
      </c>
    </row>
    <row r="2" ht="24" customHeight="1">
      <c r="A2" s="6" t="inlineStr">
        <is>
          <t>Name / Handle</t>
        </is>
      </c>
      <c r="B2" s="6" t="inlineStr">
        <is>
          <t>Platform</t>
        </is>
      </c>
      <c r="C2" s="6" t="inlineStr">
        <is>
          <t>Followers</t>
        </is>
      </c>
      <c r="D2" s="6" t="inlineStr">
        <is>
          <t>Niche</t>
        </is>
      </c>
      <c r="E2" s="6" t="inlineStr">
        <is>
          <t>Status</t>
        </is>
      </c>
      <c r="F2" s="6" t="inlineStr">
        <is>
          <t>DM sent date</t>
        </is>
      </c>
      <c r="G2" s="6" t="inlineStr">
        <is>
          <t>Response</t>
        </is>
      </c>
      <c r="H2" s="6" t="inlineStr">
        <is>
          <t>Posted?</t>
        </is>
      </c>
      <c r="I2" s="6" t="inlineStr">
        <is>
          <t>Their ref code</t>
        </is>
      </c>
      <c r="J2" s="6" t="inlineStr">
        <is>
          <t>Notes</t>
        </is>
      </c>
    </row>
    <row r="3">
      <c r="A3" t="inlineStr">
        <is>
          <t>(slot 1)</t>
        </is>
      </c>
      <c r="E3" t="inlineStr">
        <is>
          <t>Cold</t>
        </is>
      </c>
    </row>
    <row r="4">
      <c r="A4" t="inlineStr">
        <is>
          <t>(slot 2)</t>
        </is>
      </c>
      <c r="E4" t="inlineStr">
        <is>
          <t>Cold</t>
        </is>
      </c>
    </row>
    <row r="5">
      <c r="A5" t="inlineStr">
        <is>
          <t>(slot 3)</t>
        </is>
      </c>
      <c r="E5" t="inlineStr">
        <is>
          <t>Cold</t>
        </is>
      </c>
    </row>
    <row r="6">
      <c r="A6" t="inlineStr">
        <is>
          <t>(slot 4)</t>
        </is>
      </c>
      <c r="E6" t="inlineStr">
        <is>
          <t>Cold</t>
        </is>
      </c>
    </row>
    <row r="7">
      <c r="A7" t="inlineStr">
        <is>
          <t>(slot 5)</t>
        </is>
      </c>
      <c r="E7" t="inlineStr">
        <is>
          <t>Cold</t>
        </is>
      </c>
    </row>
    <row r="8">
      <c r="A8" t="inlineStr">
        <is>
          <t>(slot 6)</t>
        </is>
      </c>
      <c r="E8" t="inlineStr">
        <is>
          <t>Cold</t>
        </is>
      </c>
    </row>
    <row r="9">
      <c r="A9" t="inlineStr">
        <is>
          <t>(slot 7)</t>
        </is>
      </c>
      <c r="E9" t="inlineStr">
        <is>
          <t>Cold</t>
        </is>
      </c>
    </row>
    <row r="10">
      <c r="A10" t="inlineStr">
        <is>
          <t>(slot 8)</t>
        </is>
      </c>
      <c r="E10" t="inlineStr">
        <is>
          <t>Cold</t>
        </is>
      </c>
    </row>
    <row r="11">
      <c r="A11" t="inlineStr">
        <is>
          <t>(slot 9)</t>
        </is>
      </c>
      <c r="E11" t="inlineStr">
        <is>
          <t>Cold</t>
        </is>
      </c>
    </row>
    <row r="12">
      <c r="A12" t="inlineStr">
        <is>
          <t>(slot 10)</t>
        </is>
      </c>
      <c r="E12" t="inlineStr">
        <is>
          <t>Cold</t>
        </is>
      </c>
    </row>
    <row r="13">
      <c r="A13" t="inlineStr">
        <is>
          <t>(slot 11)</t>
        </is>
      </c>
      <c r="E13" t="inlineStr">
        <is>
          <t>Cold</t>
        </is>
      </c>
    </row>
    <row r="14">
      <c r="A14" t="inlineStr">
        <is>
          <t>(slot 12)</t>
        </is>
      </c>
      <c r="E14" t="inlineStr">
        <is>
          <t>Cold</t>
        </is>
      </c>
    </row>
    <row r="15">
      <c r="A15" t="inlineStr">
        <is>
          <t>(slot 13)</t>
        </is>
      </c>
      <c r="E15" t="inlineStr">
        <is>
          <t>Cold</t>
        </is>
      </c>
    </row>
    <row r="16">
      <c r="A16" t="inlineStr">
        <is>
          <t>(slot 14)</t>
        </is>
      </c>
      <c r="E16" t="inlineStr">
        <is>
          <t>Cold</t>
        </is>
      </c>
    </row>
    <row r="17">
      <c r="A17" t="inlineStr">
        <is>
          <t>(slot 15)</t>
        </is>
      </c>
      <c r="E17" t="inlineStr">
        <is>
          <t>Cold</t>
        </is>
      </c>
    </row>
    <row r="18">
      <c r="A18" t="inlineStr">
        <is>
          <t>(slot 16)</t>
        </is>
      </c>
      <c r="E18" t="inlineStr">
        <is>
          <t>Cold</t>
        </is>
      </c>
    </row>
    <row r="19">
      <c r="A19" t="inlineStr">
        <is>
          <t>(slot 17)</t>
        </is>
      </c>
      <c r="E19" t="inlineStr">
        <is>
          <t>Cold</t>
        </is>
      </c>
    </row>
    <row r="20">
      <c r="A20" t="inlineStr">
        <is>
          <t>(slot 18)</t>
        </is>
      </c>
      <c r="E20" t="inlineStr">
        <is>
          <t>Cold</t>
        </is>
      </c>
    </row>
    <row r="21">
      <c r="A21" t="inlineStr">
        <is>
          <t>(slot 19)</t>
        </is>
      </c>
      <c r="E21" t="inlineStr">
        <is>
          <t>Cold</t>
        </is>
      </c>
    </row>
    <row r="22">
      <c r="A22" t="inlineStr">
        <is>
          <t>(slot 20)</t>
        </is>
      </c>
      <c r="E22" t="inlineStr">
        <is>
          <t>Cold</t>
        </is>
      </c>
    </row>
  </sheetData>
  <mergeCells count="1">
    <mergeCell ref="A1:J1"/>
  </mergeCells>
  <conditionalFormatting sqref="E3:E50">
    <cfRule type="cellIs" priority="1" operator="equal" dxfId="5">
      <formula>"Cold"</formula>
    </cfRule>
    <cfRule type="cellIs" priority="2" operator="equal" dxfId="3">
      <formula>"DM sent"</formula>
    </cfRule>
    <cfRule type="cellIs" priority="3" operator="equal" dxfId="1">
      <formula>"Responded"</formula>
    </cfRule>
    <cfRule type="cellIs" priority="4" operator="equal" dxfId="0">
      <formula>"Posted"</formula>
    </cfRule>
    <cfRule type="cellIs" priority="5" operator="equal" dxfId="2">
      <formula>"Declined"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26" customWidth="1" min="4" max="4"/>
    <col width="11" customWidth="1" min="5" max="5"/>
    <col width="7" customWidth="1" min="6" max="6"/>
    <col width="11" customWidth="1" min="7" max="7"/>
    <col width="11" customWidth="1" min="8" max="8"/>
    <col width="28" customWidth="1" min="9" max="9"/>
    <col width="24" customWidth="1" min="11" max="11"/>
    <col width="14" customWidth="1" min="12" max="12"/>
  </cols>
  <sheetData>
    <row r="1" ht="32" customHeight="1">
      <c r="A1" s="4" t="inlineStr">
        <is>
          <t>PICK PERFORMANCE — daily record (the receipts wall)</t>
        </is>
      </c>
    </row>
    <row r="2" ht="24" customHeight="1">
      <c r="A2" s="6" t="inlineStr">
        <is>
          <t>Date</t>
        </is>
      </c>
      <c r="B2" s="6" t="inlineStr">
        <is>
          <t>League</t>
        </is>
      </c>
      <c r="C2" s="6" t="inlineStr">
        <is>
          <t>Game</t>
        </is>
      </c>
      <c r="D2" s="6" t="inlineStr">
        <is>
          <t>Pick</t>
        </is>
      </c>
      <c r="E2" s="6" t="inlineStr">
        <is>
          <t>Probability</t>
        </is>
      </c>
      <c r="F2" s="6" t="inlineStr">
        <is>
          <t>Tier</t>
        </is>
      </c>
      <c r="G2" s="6" t="inlineStr">
        <is>
          <t>Result</t>
        </is>
      </c>
      <c r="H2" s="6" t="inlineStr">
        <is>
          <t>1u P&amp;L</t>
        </is>
      </c>
      <c r="I2" s="6" t="inlineStr">
        <is>
          <t>Notes</t>
        </is>
      </c>
      <c r="K2" s="11" t="inlineStr">
        <is>
          <t>Summary</t>
        </is>
      </c>
    </row>
    <row r="3">
      <c r="A3" s="7" t="n">
        <v>46154</v>
      </c>
      <c r="B3" t="inlineStr">
        <is>
          <t>NBA</t>
        </is>
      </c>
      <c r="C3" t="inlineStr">
        <is>
          <t>SAS vs MIN G5</t>
        </is>
      </c>
      <c r="D3" t="inlineStr">
        <is>
          <t>San Antonio Spurs</t>
        </is>
      </c>
      <c r="E3" s="9" t="n">
        <v>78.59999999999999</v>
      </c>
      <c r="F3" t="inlineStr">
        <is>
          <t>**</t>
        </is>
      </c>
      <c r="G3" t="inlineStr">
        <is>
          <t>WIN</t>
        </is>
      </c>
      <c r="H3" t="inlineStr">
        <is>
          <t>+0.91</t>
        </is>
      </c>
      <c r="I3" t="inlineStr">
        <is>
          <t>Series 3-2 SAS</t>
        </is>
      </c>
      <c r="K3" t="inlineStr">
        <is>
          <t>Total wins</t>
        </is>
      </c>
      <c r="L3">
        <f>COUNTIF(G:G,"WIN")</f>
        <v/>
      </c>
    </row>
    <row r="4">
      <c r="A4" s="7" t="n">
        <v>46154</v>
      </c>
      <c r="B4" t="inlineStr">
        <is>
          <t>NHL</t>
        </is>
      </c>
      <c r="C4" t="inlineStr">
        <is>
          <t>VGK @ ANA G5</t>
        </is>
      </c>
      <c r="D4" t="inlineStr">
        <is>
          <t>Vegas Golden Knights</t>
        </is>
      </c>
      <c r="E4" s="9" t="n">
        <v>57.7</v>
      </c>
      <c r="F4" t="inlineStr">
        <is>
          <t>*</t>
        </is>
      </c>
      <c r="G4" t="inlineStr">
        <is>
          <t>WIN</t>
        </is>
      </c>
      <c r="H4" t="inlineStr">
        <is>
          <t>+0.91</t>
        </is>
      </c>
      <c r="I4" t="inlineStr">
        <is>
          <t>Tied series winner</t>
        </is>
      </c>
      <c r="K4" t="inlineStr">
        <is>
          <t>Total losses</t>
        </is>
      </c>
      <c r="L4">
        <f>COUNTIF(G:G,"LOSS")</f>
        <v/>
      </c>
    </row>
    <row r="5">
      <c r="A5" s="7" t="n">
        <v>46154</v>
      </c>
      <c r="B5" t="inlineStr">
        <is>
          <t>NHL</t>
        </is>
      </c>
      <c r="C5" t="inlineStr">
        <is>
          <t>MTL vs BUF G4</t>
        </is>
      </c>
      <c r="D5" t="inlineStr">
        <is>
          <t>Montreal Canadiens</t>
        </is>
      </c>
      <c r="E5" s="9" t="n">
        <v>56.1</v>
      </c>
      <c r="F5" t="inlineStr">
        <is>
          <t>*</t>
        </is>
      </c>
      <c r="G5" t="inlineStr">
        <is>
          <t>LOSS</t>
        </is>
      </c>
      <c r="H5" t="inlineStr">
        <is>
          <t>-1.00</t>
        </is>
      </c>
      <c r="I5" t="inlineStr">
        <is>
          <t>Missed G4</t>
        </is>
      </c>
      <c r="K5" t="inlineStr">
        <is>
          <t>Win %</t>
        </is>
      </c>
      <c r="L5" s="9">
        <f>IFERROR(L3/(L3+L4),"")</f>
        <v/>
      </c>
    </row>
    <row r="6">
      <c r="A6" s="7" t="n">
        <v>46155</v>
      </c>
      <c r="B6" t="inlineStr">
        <is>
          <t>EPL</t>
        </is>
      </c>
      <c r="C6" t="inlineStr">
        <is>
          <t>MCI vs CRY</t>
        </is>
      </c>
      <c r="D6" t="inlineStr">
        <is>
          <t>Manchester City</t>
        </is>
      </c>
      <c r="E6" s="9" t="n">
        <v>81.2</v>
      </c>
      <c r="F6" t="inlineStr">
        <is>
          <t>***</t>
        </is>
      </c>
      <c r="G6" t="inlineStr">
        <is>
          <t>Pending</t>
        </is>
      </c>
      <c r="H6" t="inlineStr"/>
      <c r="I6" t="inlineStr">
        <is>
          <t>Lock of the night</t>
        </is>
      </c>
      <c r="K6" t="inlineStr">
        <is>
          <t>Lock (⭐⭐⭐) record</t>
        </is>
      </c>
      <c r="L6">
        <f>COUNTIFS(F:F,"***",G:G,"WIN")&amp;"-"&amp;COUNTIFS(F:F,"***",G:G,"LOSS")</f>
        <v/>
      </c>
    </row>
    <row r="7">
      <c r="A7" s="7" t="n">
        <v>46155</v>
      </c>
      <c r="B7" t="inlineStr">
        <is>
          <t>NHL</t>
        </is>
      </c>
      <c r="C7" t="inlineStr">
        <is>
          <t>COL @ MIN G5</t>
        </is>
      </c>
      <c r="D7" t="inlineStr">
        <is>
          <t>Colorado Avalanche</t>
        </is>
      </c>
      <c r="E7" s="9" t="n">
        <v>63.6</v>
      </c>
      <c r="F7" t="inlineStr">
        <is>
          <t>**</t>
        </is>
      </c>
      <c r="G7" t="inlineStr">
        <is>
          <t>Pending</t>
        </is>
      </c>
      <c r="H7" t="inlineStr"/>
      <c r="I7" t="inlineStr">
        <is>
          <t>Series closeout</t>
        </is>
      </c>
    </row>
    <row r="8">
      <c r="A8" s="7" t="n">
        <v>46155</v>
      </c>
      <c r="B8" t="inlineStr">
        <is>
          <t>NBA</t>
        </is>
      </c>
      <c r="C8" t="inlineStr">
        <is>
          <t>DET vs CLE G5</t>
        </is>
      </c>
      <c r="D8" t="inlineStr">
        <is>
          <t>Detroit Pistons</t>
        </is>
      </c>
      <c r="E8" s="9" t="n">
        <v>60.6</v>
      </c>
      <c r="F8" t="inlineStr">
        <is>
          <t>*</t>
        </is>
      </c>
      <c r="G8" t="inlineStr">
        <is>
          <t>Pending</t>
        </is>
      </c>
      <c r="H8" t="inlineStr"/>
      <c r="I8" t="inlineStr">
        <is>
          <t>Tied series G5</t>
        </is>
      </c>
    </row>
    <row r="9">
      <c r="A9" s="7" t="n">
        <v>46155</v>
      </c>
      <c r="B9" t="inlineStr">
        <is>
          <t>NHL</t>
        </is>
      </c>
      <c r="C9" t="inlineStr">
        <is>
          <t>MTL vs BUF G4</t>
        </is>
      </c>
      <c r="D9" t="inlineStr">
        <is>
          <t>Montreal Canadiens</t>
        </is>
      </c>
      <c r="E9" s="9" t="n">
        <v>56.1</v>
      </c>
      <c r="F9" t="inlineStr">
        <is>
          <t>*</t>
        </is>
      </c>
      <c r="G9" t="inlineStr">
        <is>
          <t>Pending</t>
        </is>
      </c>
      <c r="H9" t="inlineStr"/>
      <c r="I9" t="inlineStr">
        <is>
          <t>Carryover</t>
        </is>
      </c>
    </row>
    <row r="10">
      <c r="A10" s="7" t="n">
        <v>46155</v>
      </c>
      <c r="B10" t="inlineStr">
        <is>
          <t>NHL</t>
        </is>
      </c>
      <c r="C10" t="inlineStr">
        <is>
          <t>VGK @ ANA G5</t>
        </is>
      </c>
      <c r="D10" t="inlineStr">
        <is>
          <t>Vegas Golden Knights</t>
        </is>
      </c>
      <c r="E10" s="9" t="n">
        <v>57.7</v>
      </c>
      <c r="F10" t="inlineStr">
        <is>
          <t>*</t>
        </is>
      </c>
      <c r="G10" t="inlineStr">
        <is>
          <t>Pending</t>
        </is>
      </c>
      <c r="H10" t="inlineStr"/>
      <c r="I10" t="inlineStr">
        <is>
          <t>Carryover</t>
        </is>
      </c>
    </row>
  </sheetData>
  <mergeCells count="1">
    <mergeCell ref="A1:I1"/>
  </mergeCells>
  <conditionalFormatting sqref="G3:G500">
    <cfRule type="cellIs" priority="1" operator="equal" dxfId="0">
      <formula>"WIN"</formula>
    </cfRule>
    <cfRule type="cellIs" priority="2" operator="equal" dxfId="2">
      <formula>"LOSS"</formula>
    </cfRule>
    <cfRule type="cellIs" priority="3" operator="equal" dxfId="5">
      <formula>"Pending"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2026-05-13T21:00:10Z</dcterms:created>
  <dcterms:modified xsi:type="dcterms:W3CDTF">2026-05-13T21:00:10Z</dcterms:modified>
</cp:coreProperties>
</file>