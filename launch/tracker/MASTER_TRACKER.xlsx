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· README" sheetId="1" state="visible" r:id="rId1"/>
    <sheet name="1 · KPI Dashboard" sheetId="2" state="visible" r:id="rId2"/>
    <sheet name="2 · Content Calendar" sheetId="3" state="visible" r:id="rId3"/>
    <sheet name="3 · Ad Performance" sheetId="4" state="visible" r:id="rId4"/>
    <sheet name="4 · Channel ROI" sheetId="5" state="visible" r:id="rId5"/>
    <sheet name="5 · Activations" sheetId="6" state="visible" r:id="rId6"/>
    <sheet name="6 · Influencer Outreach" sheetId="7" state="visible" r:id="rId7"/>
    <sheet name="7 · Pick Performance" sheetId="8" state="visible" r:id="rId8"/>
    <sheet name="8 · $100K Scenario" sheetId="9" state="visible" r:id="rId9"/>
    <sheet name="9 · Daily Strategy" sheetId="10" state="visible" r:id="rId10"/>
    <sheet name="10 · Content Engine" sheetId="11" state="visible" r:id="rId11"/>
    <sheet name="11 · Aggressive Tactics" sheetId="12" state="visible" r:id="rId12"/>
    <sheet name="12 · $25K Active Pla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"/>
    <numFmt numFmtId="166" formatCode="0.0%"/>
    <numFmt numFmtId="167" formatCode="$#,##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66666"/>
      <sz val="9"/>
    </font>
    <font>
      <name val="Calibri"/>
      <b val="1"/>
      <color rgb="000A0B0D"/>
      <sz val="11"/>
    </font>
    <font>
      <name val="Calibri"/>
      <b val="1"/>
      <color rgb="00333333"/>
      <sz val="10"/>
    </font>
    <font>
      <name val="Calibri"/>
      <b val="1"/>
      <color rgb="000A0B0D"/>
      <sz val="12"/>
    </font>
    <font>
      <name val="Calibri"/>
      <sz val="10"/>
    </font>
    <font>
      <name val="Calibri"/>
      <b val="1"/>
      <sz val="10"/>
    </font>
    <font>
      <name val="Calibri"/>
      <b val="1"/>
      <sz val="11"/>
    </font>
    <font>
      <name val="Consolas"/>
      <sz val="10"/>
    </font>
    <font>
      <name val="Calibri"/>
      <b val="1"/>
      <color rgb="00FFFFFF"/>
      <sz val="13"/>
    </font>
    <font>
      <name val="Calibri"/>
      <b val="1"/>
      <sz val="12"/>
    </font>
    <font>
      <name val="Calibri"/>
      <b val="1"/>
      <color rgb="000A0B0D"/>
      <sz val="10"/>
    </font>
    <font>
      <name val="Calibri"/>
      <b val="1"/>
      <color rgb="00FFFFFF"/>
      <sz val="22"/>
    </font>
    <font>
      <name val="Calibri"/>
      <b val="1"/>
      <color rgb="000A0B0D"/>
      <sz val="14"/>
    </font>
    <font>
      <name val="Calibri"/>
      <sz val="11"/>
    </font>
  </fonts>
  <fills count="16">
    <fill>
      <patternFill/>
    </fill>
    <fill>
      <patternFill patternType="gray125"/>
    </fill>
    <fill>
      <patternFill patternType="solid">
        <fgColor rgb="000A0B0D"/>
      </patternFill>
    </fill>
    <fill>
      <patternFill patternType="solid">
        <fgColor rgb="00D4FF3A"/>
      </patternFill>
    </fill>
    <fill>
      <patternFill patternType="solid">
        <fgColor rgb="00F4F4F4"/>
      </patternFill>
    </fill>
    <fill>
      <patternFill patternType="solid">
        <fgColor rgb="00EFEFEF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FCE4EC"/>
      </patternFill>
    </fill>
    <fill>
      <patternFill patternType="solid">
        <fgColor rgb="00D32F2F"/>
      </patternFill>
    </fill>
    <fill>
      <patternFill patternType="solid">
        <fgColor rgb="00FFE08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3" fillId="2" borderId="0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3" fillId="3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67" fontId="0" fillId="0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top" wrapText="1"/>
    </xf>
    <xf numFmtId="167" fontId="4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top" wrapText="1"/>
    </xf>
    <xf numFmtId="167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top" wrapText="1"/>
    </xf>
    <xf numFmtId="0" fontId="7" fillId="8" borderId="0" applyAlignment="1" pivotButton="0" quotePrefix="0" xfId="0">
      <alignment horizontal="left" vertical="top" wrapText="1"/>
    </xf>
    <xf numFmtId="0" fontId="7" fillId="9" borderId="0" applyAlignment="1" pivotButton="0" quotePrefix="0" xfId="0">
      <alignment horizontal="left" vertical="top" wrapText="1"/>
    </xf>
    <xf numFmtId="0" fontId="5" fillId="5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5" borderId="0" pivotButton="0" quotePrefix="0" xfId="0"/>
    <xf numFmtId="0" fontId="9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0E0E0"/>
        </patternFill>
      </fill>
    </dxf>
    <dxf>
      <fill>
        <patternFill patternType="solid">
          <f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44" customHeight="1">
      <c r="A1" s="1" t="inlineStr">
        <is>
          <t>PICK1 · MASTER TRACKER</t>
        </is>
      </c>
    </row>
    <row r="3" ht="22" customHeight="1">
      <c r="A3" s="2" t="inlineStr">
        <is>
          <t>How to use this</t>
        </is>
      </c>
    </row>
    <row r="4">
      <c r="A4" s="3" t="inlineStr">
        <is>
          <t>This sheet is the EXECUTION log. The strategy doc (launch/MASTER_STRATEGY.md) is the plan; this is the daily-update tracker.</t>
        </is>
      </c>
    </row>
    <row r="5">
      <c r="A5" s="3" t="inlineStr"/>
    </row>
    <row r="6">
      <c r="A6" s="3" t="inlineStr">
        <is>
          <t>Update cadence: every night before bed. Takes ~3 min.</t>
        </is>
      </c>
    </row>
    <row r="7">
      <c r="A7" s="3" t="inlineStr">
        <is>
          <t>Sundays: full audit + reallocation decisions for the week ahead.</t>
        </is>
      </c>
    </row>
    <row r="8">
      <c r="A8" s="3" t="inlineStr"/>
    </row>
    <row r="9" ht="22" customHeight="1">
      <c r="A9" s="2" t="inlineStr">
        <is>
          <t>⭐ Start here every day</t>
        </is>
      </c>
    </row>
    <row r="10">
      <c r="A10" s="3" t="inlineStr">
        <is>
          <t>Tab 9 — Daily Strategy — has the day-by-day execution plan for May 14 → May 31. Auto-cron vs. you-post vs. outreach vs. activations, with daily + cumulative signup targets. Open this tab every morning.</t>
        </is>
      </c>
    </row>
    <row r="11">
      <c r="A11" s="3" t="inlineStr"/>
    </row>
    <row r="12" ht="22" customHeight="1">
      <c r="A12" s="2" t="inlineStr">
        <is>
          <t>The 9 tabs</t>
        </is>
      </c>
    </row>
    <row r="13">
      <c r="A13" s="3" t="inlineStr">
        <is>
          <t>1. KPI Dashboard         — top-level daily numbers (signups, CPL, etc.) [your SCOREBOARD]</t>
        </is>
      </c>
    </row>
    <row r="14">
      <c r="A14" s="3" t="inlineStr">
        <is>
          <t>2. Content Calendar      — every post planned + posted, with perf</t>
        </is>
      </c>
    </row>
    <row r="15">
      <c r="A15" s="3" t="inlineStr">
        <is>
          <t>3. Ad Performance        — Meta + TikTok Spark per-day per-ad</t>
        </is>
      </c>
    </row>
    <row r="16">
      <c r="A16" s="3" t="inlineStr">
        <is>
          <t>4. Channel ROI           — which channel is winning, % of total (42 channels tracked)</t>
        </is>
      </c>
    </row>
    <row r="17">
      <c r="A17" s="3" t="inlineStr">
        <is>
          <t>5. Activations           — the 22 viral activations + state (web3 quests, Founder Pass, etc.)</t>
        </is>
      </c>
    </row>
    <row r="18">
      <c r="A18" s="3" t="inlineStr">
        <is>
          <t>6. Influencer Outreach   — the 20-DM micro-trade program</t>
        </is>
      </c>
    </row>
    <row r="19">
      <c r="A19" s="3" t="inlineStr">
        <is>
          <t>7. Pick Performance      — daily pick record (the receipts wall)</t>
        </is>
      </c>
    </row>
    <row r="20">
      <c r="A20" s="3" t="inlineStr">
        <is>
          <t>8. $100K Scenario        — what marketing spend would look like at $1K vs $25K vs $100K</t>
        </is>
      </c>
    </row>
    <row r="21">
      <c r="A21" s="3" t="inlineStr">
        <is>
          <t>9. Daily Strategy ⭐    — day-by-day execution plan May 14 → May 31 (THE plan)</t>
        </is>
      </c>
    </row>
    <row r="22">
      <c r="A22" s="3" t="inlineStr">
        <is>
          <t>10. Content Engine      — daily content blueprint + repurposing matrix + hashtag library + times</t>
        </is>
      </c>
    </row>
    <row r="23">
      <c r="A23" s="3" t="inlineStr">
        <is>
          <t>11. Aggressive Tactics  — 50 free moves ranked by ROI (CMO playbook, tier-coded)</t>
        </is>
      </c>
    </row>
    <row r="24">
      <c r="A24" s="3" t="inlineStr">
        <is>
          <t>12. $25K Active Plan ⭐ — CURRENT BUDGET. Full allocation + cadence + outcomes. Open this with Tab 9.</t>
        </is>
      </c>
    </row>
    <row r="25">
      <c r="A25" s="3" t="inlineStr"/>
    </row>
    <row r="26" ht="22" customHeight="1">
      <c r="A26" s="2" t="inlineStr">
        <is>
          <t>North Star</t>
        </is>
      </c>
    </row>
    <row r="27">
      <c r="A27" s="3" t="inlineStr">
        <is>
          <t>1,500 waitlist signups by May 31. Stretch target: 2,500.</t>
        </is>
      </c>
    </row>
    <row r="28">
      <c r="A28" s="3" t="inlineStr">
        <is>
          <t>Budget: $1,000 total. CPL target: &lt; $1.50.</t>
        </is>
      </c>
    </row>
    <row r="29">
      <c r="A29" s="3" t="inlineStr"/>
    </row>
    <row r="30" ht="22" customHeight="1">
      <c r="A30" s="2" t="inlineStr">
        <is>
          <t>Quick references</t>
        </is>
      </c>
    </row>
    <row r="31">
      <c r="A31" s="3" t="inlineStr">
        <is>
          <t>Strategy doc:   launch/MASTER_STRATEGY.md</t>
        </is>
      </c>
    </row>
    <row r="32">
      <c r="A32" s="3" t="inlineStr">
        <is>
          <t>Site:           https://pick1.live</t>
        </is>
      </c>
    </row>
    <row r="33">
      <c r="A33" s="3" t="inlineStr">
        <is>
          <t>FB Page:        https://www.facebook.com/profile.php?id=61589631453496</t>
        </is>
      </c>
    </row>
    <row r="34">
      <c r="A34" s="3" t="inlineStr">
        <is>
          <t>Resend domain:  pick1.live (verified)</t>
        </is>
      </c>
    </row>
    <row r="35">
      <c r="A35" s="3" t="inlineStr">
        <is>
          <t>Supabase proj:  lgnjawngkiamlngcffrk (eu-central-2)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6" customWidth="1" min="4" max="4"/>
    <col width="13" customWidth="1" min="5" max="5"/>
    <col width="18" customWidth="1" min="6" max="6"/>
    <col width="12" customWidth="1" min="7" max="7"/>
    <col width="22" customWidth="1" min="8" max="8"/>
    <col width="14" customWidth="1" min="9" max="9"/>
    <col width="18" customWidth="1" min="10" max="10"/>
    <col width="14" customWidth="1" min="11" max="11"/>
    <col width="17" customWidth="1" min="12" max="12"/>
    <col width="35" customWidth="1" min="13" max="13"/>
  </cols>
  <sheetData>
    <row r="1" ht="32" customHeight="1">
      <c r="A1" s="4" t="inlineStr">
        <is>
          <t>PICK1 · DAILY KPI DASHBOARD (May 13 → May 31)</t>
        </is>
      </c>
    </row>
    <row r="2">
      <c r="A2" s="5" t="inlineStr">
        <is>
          <t>North Star: 1,500 waitlist signups by May 31  ·  Budget: $1,000</t>
        </is>
      </c>
    </row>
    <row r="3" ht="24" customHeight="1">
      <c r="A3" s="6" t="inlineStr">
        <is>
          <t>Day</t>
        </is>
      </c>
      <c r="B3" s="6" t="inlineStr">
        <is>
          <t>Date</t>
        </is>
      </c>
      <c r="C3" s="6" t="inlineStr">
        <is>
          <t>Signups (cumulative)</t>
        </is>
      </c>
      <c r="D3" s="6" t="inlineStr">
        <is>
          <t>Signups (today)</t>
        </is>
      </c>
      <c r="E3" s="6" t="inlineStr">
        <is>
          <t>Meta $ today</t>
        </is>
      </c>
      <c r="F3" s="6" t="inlineStr">
        <is>
          <t>Meta signups today</t>
        </is>
      </c>
      <c r="G3" s="6" t="inlineStr">
        <is>
          <t>Meta CPL</t>
        </is>
      </c>
      <c r="H3" s="6" t="inlineStr">
        <is>
          <t>Organic signups today</t>
        </is>
      </c>
      <c r="I3" s="6" t="inlineStr">
        <is>
          <t>IG followers</t>
        </is>
      </c>
      <c r="J3" s="6" t="inlineStr">
        <is>
          <t>TikTok followers</t>
        </is>
      </c>
      <c r="K3" s="6" t="inlineStr">
        <is>
          <t>Email open %</t>
        </is>
      </c>
      <c r="L3" s="6" t="inlineStr">
        <is>
          <t>Referral shares</t>
        </is>
      </c>
      <c r="M3" s="6" t="inlineStr">
        <is>
          <t>Notes</t>
        </is>
      </c>
    </row>
    <row r="4">
      <c r="A4" t="inlineStr">
        <is>
          <t>Day 1</t>
        </is>
      </c>
      <c r="B4" s="7" t="n">
        <v>46155</v>
      </c>
      <c r="C4" t="n">
        <v>1</v>
      </c>
      <c r="D4" t="n">
        <v>1</v>
      </c>
      <c r="G4" s="8">
        <f>IFERROR(E4/F4,"")</f>
        <v/>
      </c>
    </row>
    <row r="5">
      <c r="A5" t="inlineStr">
        <is>
          <t>Day 2</t>
        </is>
      </c>
      <c r="B5" s="7" t="n">
        <v>46156</v>
      </c>
      <c r="G5" s="8">
        <f>IFERROR(E5/F5,"")</f>
        <v/>
      </c>
    </row>
    <row r="6">
      <c r="A6" t="inlineStr">
        <is>
          <t>Day 3</t>
        </is>
      </c>
      <c r="B6" s="7" t="n">
        <v>46157</v>
      </c>
      <c r="G6" s="8">
        <f>IFERROR(E6/F6,"")</f>
        <v/>
      </c>
    </row>
    <row r="7">
      <c r="A7" t="inlineStr">
        <is>
          <t>Day 4</t>
        </is>
      </c>
      <c r="B7" s="7" t="n">
        <v>46158</v>
      </c>
      <c r="G7" s="8">
        <f>IFERROR(E7/F7,"")</f>
        <v/>
      </c>
    </row>
    <row r="8">
      <c r="A8" t="inlineStr">
        <is>
          <t>Day 5</t>
        </is>
      </c>
      <c r="B8" s="7" t="n">
        <v>46159</v>
      </c>
      <c r="G8" s="8">
        <f>IFERROR(E8/F8,"")</f>
        <v/>
      </c>
    </row>
    <row r="9">
      <c r="A9" t="inlineStr">
        <is>
          <t>Day 6</t>
        </is>
      </c>
      <c r="B9" s="7" t="n">
        <v>46160</v>
      </c>
      <c r="G9" s="8">
        <f>IFERROR(E9/F9,"")</f>
        <v/>
      </c>
    </row>
    <row r="10">
      <c r="A10" t="inlineStr">
        <is>
          <t>Day 7</t>
        </is>
      </c>
      <c r="B10" s="7" t="n">
        <v>46161</v>
      </c>
      <c r="G10" s="8">
        <f>IFERROR(E10/F10,"")</f>
        <v/>
      </c>
    </row>
    <row r="11">
      <c r="A11" t="inlineStr">
        <is>
          <t>Day 8</t>
        </is>
      </c>
      <c r="B11" s="7" t="n">
        <v>46162</v>
      </c>
      <c r="G11" s="8">
        <f>IFERROR(E11/F11,"")</f>
        <v/>
      </c>
    </row>
    <row r="12">
      <c r="A12" t="inlineStr">
        <is>
          <t>Day 9</t>
        </is>
      </c>
      <c r="B12" s="7" t="n">
        <v>46163</v>
      </c>
      <c r="G12" s="8">
        <f>IFERROR(E12/F12,"")</f>
        <v/>
      </c>
    </row>
    <row r="13">
      <c r="A13" t="inlineStr">
        <is>
          <t>Day 10</t>
        </is>
      </c>
      <c r="B13" s="7" t="n">
        <v>46164</v>
      </c>
      <c r="G13" s="8">
        <f>IFERROR(E13/F13,"")</f>
        <v/>
      </c>
    </row>
    <row r="14">
      <c r="A14" t="inlineStr">
        <is>
          <t>Day 11</t>
        </is>
      </c>
      <c r="B14" s="7" t="n">
        <v>46165</v>
      </c>
      <c r="G14" s="8">
        <f>IFERROR(E14/F14,"")</f>
        <v/>
      </c>
    </row>
    <row r="15">
      <c r="A15" t="inlineStr">
        <is>
          <t>Day 12</t>
        </is>
      </c>
      <c r="B15" s="7" t="n">
        <v>46166</v>
      </c>
      <c r="G15" s="8">
        <f>IFERROR(E15/F15,"")</f>
        <v/>
      </c>
    </row>
    <row r="16">
      <c r="A16" t="inlineStr">
        <is>
          <t>Day 13</t>
        </is>
      </c>
      <c r="B16" s="7" t="n">
        <v>46167</v>
      </c>
      <c r="G16" s="8">
        <f>IFERROR(E16/F16,"")</f>
        <v/>
      </c>
    </row>
    <row r="17">
      <c r="A17" t="inlineStr">
        <is>
          <t>Day 14</t>
        </is>
      </c>
      <c r="B17" s="7" t="n">
        <v>46168</v>
      </c>
      <c r="G17" s="8">
        <f>IFERROR(E17/F17,"")</f>
        <v/>
      </c>
    </row>
    <row r="18">
      <c r="A18" t="inlineStr">
        <is>
          <t>Day 15</t>
        </is>
      </c>
      <c r="B18" s="7" t="n">
        <v>46169</v>
      </c>
      <c r="G18" s="8">
        <f>IFERROR(E18/F18,"")</f>
        <v/>
      </c>
    </row>
    <row r="19">
      <c r="A19" t="inlineStr">
        <is>
          <t>Day 16</t>
        </is>
      </c>
      <c r="B19" s="7" t="n">
        <v>46170</v>
      </c>
      <c r="G19" s="8">
        <f>IFERROR(E19/F19,"")</f>
        <v/>
      </c>
    </row>
    <row r="20">
      <c r="A20" t="inlineStr">
        <is>
          <t>Day 17</t>
        </is>
      </c>
      <c r="B20" s="7" t="n">
        <v>46171</v>
      </c>
      <c r="G20" s="8">
        <f>IFERROR(E20/F20,"")</f>
        <v/>
      </c>
    </row>
    <row r="21">
      <c r="A21" t="inlineStr">
        <is>
          <t>Day 18</t>
        </is>
      </c>
      <c r="B21" s="7" t="n">
        <v>46172</v>
      </c>
      <c r="G21" s="8">
        <f>IFERROR(E21/F21,"")</f>
        <v/>
      </c>
    </row>
    <row r="22">
      <c r="A22" t="inlineStr">
        <is>
          <t>Day 19</t>
        </is>
      </c>
      <c r="B22" s="7" t="n">
        <v>46173</v>
      </c>
      <c r="G22" s="8">
        <f>IFERROR(E22/F22,"")</f>
        <v/>
      </c>
    </row>
  </sheetData>
  <mergeCells count="2">
    <mergeCell ref="A2:M2"/>
    <mergeCell ref="A1:M1"/>
  </mergeCells>
  <conditionalFormatting sqref="G4:G22">
    <cfRule type="cellIs" priority="1" operator="lessThan" dxfId="0">
      <formula>1.5</formula>
    </cfRule>
    <cfRule type="cellIs" priority="2" operator="between" dxfId="1">
      <formula>1.5</formula>
      <formula>3</formula>
    </cfRule>
    <cfRule type="cellIs" priority="3" operator="greaterThan" dxfId="2">
      <formula>3</formula>
    </cfRule>
  </conditionalFormatting>
  <conditionalFormatting sqref="C4:C22">
    <cfRule type="colorScale" priority="4">
      <colorScale>
        <cfvo type="num" val="0"/>
        <cfvo type="num" val="750"/>
        <cfvo type="num" val="15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42" customWidth="1" min="5" max="5"/>
    <col width="11" customWidth="1" min="6" max="6"/>
    <col width="28" customWidth="1" min="7" max="7"/>
    <col width="9" customWidth="1" min="8" max="8"/>
    <col width="9" customWidth="1" min="9" max="9"/>
    <col width="9" customWidth="1" min="10" max="10"/>
    <col width="18" customWidth="1" min="11" max="11"/>
  </cols>
  <sheetData>
    <row r="1" ht="32" customHeight="1">
      <c r="A1" s="4" t="inlineStr">
        <is>
          <t>CONTENT CALENDAR — every post across every channel</t>
        </is>
      </c>
    </row>
    <row r="2" ht="24" customHeight="1">
      <c r="A2" s="6" t="inlineStr">
        <is>
          <t>Date</t>
        </is>
      </c>
      <c r="B2" s="6" t="inlineStr">
        <is>
          <t>Channel</t>
        </is>
      </c>
      <c r="C2" s="6" t="inlineStr">
        <is>
          <t>Format</t>
        </is>
      </c>
      <c r="D2" s="6" t="inlineStr">
        <is>
          <t>Pillar</t>
        </is>
      </c>
      <c r="E2" s="6" t="inlineStr">
        <is>
          <t>Topic / Hook</t>
        </is>
      </c>
      <c r="F2" s="6" t="inlineStr">
        <is>
          <t>Status</t>
        </is>
      </c>
      <c r="G2" s="6" t="inlineStr">
        <is>
          <t>URL</t>
        </is>
      </c>
      <c r="H2" s="6" t="inlineStr">
        <is>
          <t>Views</t>
        </is>
      </c>
      <c r="I2" s="6" t="inlineStr">
        <is>
          <t>Likes</t>
        </is>
      </c>
      <c r="J2" s="6" t="inlineStr">
        <is>
          <t>Shares</t>
        </is>
      </c>
      <c r="K2" s="6" t="inlineStr">
        <is>
          <t>Signups attributed</t>
        </is>
      </c>
    </row>
    <row r="3">
      <c r="A3" s="7" t="inlineStr">
        <is>
          <t>2026-05-13</t>
        </is>
      </c>
      <c r="B3" t="inlineStr">
        <is>
          <t>TikTok</t>
        </is>
      </c>
      <c r="C3" t="inlineStr">
        <is>
          <t>Reel</t>
        </is>
      </c>
      <c r="D3" t="inlineStr">
        <is>
          <t>Receipt</t>
        </is>
      </c>
      <c r="E3" t="inlineStr">
        <is>
          <t>Yesterday 2-1 (SAS 126-97 lock)</t>
        </is>
      </c>
      <c r="F3" t="inlineStr">
        <is>
          <t>Drafted</t>
        </is>
      </c>
      <c r="G3" t="inlineStr"/>
      <c r="H3" t="n">
        <v>0</v>
      </c>
      <c r="I3" t="n">
        <v>0</v>
      </c>
      <c r="J3" t="n">
        <v>0</v>
      </c>
      <c r="K3" t="n">
        <v>0</v>
      </c>
    </row>
    <row r="4">
      <c r="A4" s="7" t="inlineStr">
        <is>
          <t>2026-05-13</t>
        </is>
      </c>
      <c r="B4" t="inlineStr">
        <is>
          <t>TikTok</t>
        </is>
      </c>
      <c r="C4" t="inlineStr">
        <is>
          <t>Reel</t>
        </is>
      </c>
      <c r="D4" t="inlineStr">
        <is>
          <t>Daily Pick</t>
        </is>
      </c>
      <c r="E4" t="inlineStr">
        <is>
          <t>Tonight's lock: MCI 81.2% confidence</t>
        </is>
      </c>
      <c r="F4" t="inlineStr">
        <is>
          <t>Drafted</t>
        </is>
      </c>
      <c r="G4" t="inlineStr"/>
      <c r="H4" t="n">
        <v>0</v>
      </c>
      <c r="I4" t="n">
        <v>0</v>
      </c>
      <c r="J4" t="n">
        <v>0</v>
      </c>
      <c r="K4" t="n">
        <v>0</v>
      </c>
    </row>
    <row r="5">
      <c r="A5" s="7" t="inlineStr">
        <is>
          <t>2026-05-13</t>
        </is>
      </c>
      <c r="B5" t="inlineStr">
        <is>
          <t>IG</t>
        </is>
      </c>
      <c r="C5" t="inlineStr">
        <is>
          <t>Static</t>
        </is>
      </c>
      <c r="D5" t="inlineStr">
        <is>
          <t>Receipt</t>
        </is>
      </c>
      <c r="E5" t="inlineStr">
        <is>
          <t>Post #2: SAS 126-97 bold static</t>
        </is>
      </c>
      <c r="F5" t="inlineStr">
        <is>
          <t>To render</t>
        </is>
      </c>
      <c r="G5" t="inlineStr"/>
      <c r="H5" t="n">
        <v>0</v>
      </c>
      <c r="I5" t="n">
        <v>0</v>
      </c>
      <c r="J5" t="n">
        <v>0</v>
      </c>
      <c r="K5" t="n">
        <v>0</v>
      </c>
    </row>
    <row r="6">
      <c r="A6" s="7" t="inlineStr">
        <is>
          <t>2026-05-13</t>
        </is>
      </c>
      <c r="B6" t="inlineStr">
        <is>
          <t>IG</t>
        </is>
      </c>
      <c r="C6" t="inlineStr">
        <is>
          <t>Story</t>
        </is>
      </c>
      <c r="D6" t="inlineStr">
        <is>
          <t>Daily Pick</t>
        </is>
      </c>
      <c r="E6" t="inlineStr">
        <is>
          <t>Pick locked 🔒 (link sticker)</t>
        </is>
      </c>
      <c r="F6" t="inlineStr">
        <is>
          <t>Drafted</t>
        </is>
      </c>
      <c r="G6" t="inlineStr"/>
      <c r="H6" t="n">
        <v>0</v>
      </c>
      <c r="I6" t="n">
        <v>0</v>
      </c>
      <c r="J6" t="n">
        <v>0</v>
      </c>
      <c r="K6" t="n">
        <v>0</v>
      </c>
    </row>
    <row r="7">
      <c r="A7" s="7" t="inlineStr">
        <is>
          <t>2026-05-13</t>
        </is>
      </c>
      <c r="B7" t="inlineStr">
        <is>
          <t>Twitter</t>
        </is>
      </c>
      <c r="C7" t="inlineStr">
        <is>
          <t>Tweet</t>
        </is>
      </c>
      <c r="D7" t="inlineStr">
        <is>
          <t>Receipt</t>
        </is>
      </c>
      <c r="E7" t="inlineStr">
        <is>
          <t>Yesterday: SAS 126-97 + tonight tease</t>
        </is>
      </c>
      <c r="F7" t="inlineStr">
        <is>
          <t>Drafted</t>
        </is>
      </c>
      <c r="G7" t="inlineStr"/>
      <c r="H7" t="n">
        <v>0</v>
      </c>
      <c r="I7" t="n">
        <v>0</v>
      </c>
      <c r="J7" t="n">
        <v>0</v>
      </c>
      <c r="K7" t="n">
        <v>0</v>
      </c>
    </row>
    <row r="8">
      <c r="A8" s="7" t="inlineStr">
        <is>
          <t>2026-05-13</t>
        </is>
      </c>
      <c r="B8" t="inlineStr">
        <is>
          <t>Twitter</t>
        </is>
      </c>
      <c r="C8" t="inlineStr">
        <is>
          <t>Tweet</t>
        </is>
      </c>
      <c r="D8" t="inlineStr">
        <is>
          <t>Daily Pick</t>
        </is>
      </c>
      <c r="E8" t="inlineStr">
        <is>
          <t>3pm: MCI lock reveal</t>
        </is>
      </c>
      <c r="F8" t="inlineStr">
        <is>
          <t>Scheduled</t>
        </is>
      </c>
      <c r="G8" t="inlineStr"/>
      <c r="H8" t="n">
        <v>0</v>
      </c>
      <c r="I8" t="n">
        <v>0</v>
      </c>
      <c r="J8" t="n">
        <v>0</v>
      </c>
      <c r="K8" t="n">
        <v>0</v>
      </c>
    </row>
    <row r="9">
      <c r="A9" s="7" t="inlineStr">
        <is>
          <t>2026-05-13</t>
        </is>
      </c>
      <c r="B9" t="inlineStr">
        <is>
          <t>Reddit</t>
        </is>
      </c>
      <c r="C9" t="inlineStr">
        <is>
          <t>Comment</t>
        </is>
      </c>
      <c r="D9" t="inlineStr">
        <is>
          <t>Receipt</t>
        </is>
      </c>
      <c r="E9" t="inlineStr">
        <is>
          <t>r/sportsbook daily-talk thread</t>
        </is>
      </c>
      <c r="F9" t="inlineStr">
        <is>
          <t>Drafted</t>
        </is>
      </c>
      <c r="G9" t="inlineStr"/>
      <c r="H9" t="n">
        <v>0</v>
      </c>
      <c r="I9" t="n">
        <v>0</v>
      </c>
      <c r="J9" t="n">
        <v>0</v>
      </c>
      <c r="K9" t="n">
        <v>0</v>
      </c>
    </row>
    <row r="10">
      <c r="A10" s="7" t="inlineStr">
        <is>
          <t>2026-05-13</t>
        </is>
      </c>
      <c r="B10" t="inlineStr">
        <is>
          <t>Meta</t>
        </is>
      </c>
      <c r="C10" t="inlineStr">
        <is>
          <t>Static Ad</t>
        </is>
      </c>
      <c r="D10" t="inlineStr">
        <is>
          <t>Receipt</t>
        </is>
      </c>
      <c r="E10" t="inlineStr">
        <is>
          <t>Ad 1: 'Yesterday: Spurs 126-97 ✓'</t>
        </is>
      </c>
      <c r="F10" t="inlineStr">
        <is>
          <t>To render</t>
        </is>
      </c>
      <c r="G10" t="inlineStr"/>
      <c r="H10" t="n">
        <v>0</v>
      </c>
      <c r="I10" t="n">
        <v>0</v>
      </c>
      <c r="J10" t="n">
        <v>0</v>
      </c>
      <c r="K10" t="n">
        <v>0</v>
      </c>
    </row>
    <row r="11">
      <c r="A11" s="7" t="inlineStr">
        <is>
          <t>2026-05-13</t>
        </is>
      </c>
      <c r="B11" t="inlineStr">
        <is>
          <t>Meta</t>
        </is>
      </c>
      <c r="C11" t="inlineStr">
        <is>
          <t>Static Ad</t>
        </is>
      </c>
      <c r="D11" t="inlineStr">
        <is>
          <t>Daily Pick</t>
        </is>
      </c>
      <c r="E11" t="inlineStr">
        <is>
          <t>Ad 2: 'Tonight's lock 81.2%'</t>
        </is>
      </c>
      <c r="F11" t="inlineStr">
        <is>
          <t>To render</t>
        </is>
      </c>
      <c r="G11" t="inlineStr"/>
      <c r="H11" t="n">
        <v>0</v>
      </c>
      <c r="I11" t="n">
        <v>0</v>
      </c>
      <c r="J11" t="n">
        <v>0</v>
      </c>
      <c r="K11" t="n">
        <v>0</v>
      </c>
    </row>
    <row r="12">
      <c r="A12" s="7" t="inlineStr">
        <is>
          <t>2026-05-13</t>
        </is>
      </c>
      <c r="B12" t="inlineStr">
        <is>
          <t>Meta</t>
        </is>
      </c>
      <c r="C12" t="inlineStr">
        <is>
          <t>Static Ad</t>
        </is>
      </c>
      <c r="D12" t="inlineStr">
        <is>
          <t>Positioning</t>
        </is>
      </c>
      <c r="E12" t="inlineStr">
        <is>
          <t>Ad 3: 'One pick · 9 sports'</t>
        </is>
      </c>
      <c r="F12" t="inlineStr">
        <is>
          <t>To render</t>
        </is>
      </c>
      <c r="G12" t="inlineStr"/>
      <c r="H12" t="n">
        <v>0</v>
      </c>
      <c r="I12" t="n">
        <v>0</v>
      </c>
      <c r="J12" t="n">
        <v>0</v>
      </c>
      <c r="K12" t="n">
        <v>0</v>
      </c>
    </row>
  </sheetData>
  <mergeCells count="1">
    <mergeCell ref="A1:K1"/>
  </mergeCells>
  <conditionalFormatting sqref="F3:F212">
    <cfRule type="cellIs" priority="1" operator="equal" dxfId="0">
      <formula>"Posted"</formula>
    </cfRule>
    <cfRule type="cellIs" priority="2" operator="equal" dxfId="1">
      <formula>"Scheduled"</formula>
    </cfRule>
    <cfRule type="cellIs" priority="3" operator="equal" dxfId="3">
      <formula>"Drafted"</formula>
    </cfRule>
    <cfRule type="cellIs" priority="4" operator="equal" dxfId="4">
      <formula>"To render"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9" customWidth="1" min="7" max="7"/>
    <col width="10" customWidth="1" min="8" max="8"/>
    <col width="13" customWidth="1" min="9" max="9"/>
    <col width="10" customWidth="1" min="10" max="10"/>
  </cols>
  <sheetData>
    <row r="1" ht="32" customHeight="1">
      <c r="A1" s="4" t="inlineStr">
        <is>
          <t>AD PERFORMANCE — Meta + TikTok Spark, day-by-day</t>
        </is>
      </c>
    </row>
    <row r="2" ht="24" customHeight="1">
      <c r="A2" s="6" t="inlineStr">
        <is>
          <t>Date</t>
        </is>
      </c>
      <c r="B2" s="6" t="inlineStr">
        <is>
          <t>Platform</t>
        </is>
      </c>
      <c r="C2" s="6" t="inlineStr">
        <is>
          <t>Campaign</t>
        </is>
      </c>
      <c r="D2" s="6" t="inlineStr">
        <is>
          <t>Ad / Creative</t>
        </is>
      </c>
      <c r="E2" s="6" t="inlineStr">
        <is>
          <t>Spend</t>
        </is>
      </c>
      <c r="F2" s="6" t="inlineStr">
        <is>
          <t>Impressions</t>
        </is>
      </c>
      <c r="G2" s="6" t="inlineStr">
        <is>
          <t>Clicks</t>
        </is>
      </c>
      <c r="H2" s="6" t="inlineStr">
        <is>
          <t>CPC</t>
        </is>
      </c>
      <c r="I2" s="6" t="inlineStr">
        <is>
          <t>Conversions</t>
        </is>
      </c>
      <c r="J2" s="6" t="inlineStr">
        <is>
          <t>CPL</t>
        </is>
      </c>
    </row>
    <row r="3">
      <c r="A3" s="7" t="n">
        <v>46155</v>
      </c>
      <c r="B3" t="inlineStr">
        <is>
          <t>Meta</t>
        </is>
      </c>
      <c r="C3" t="inlineStr">
        <is>
          <t>LEAD-US-broad-20260513</t>
        </is>
      </c>
      <c r="D3" t="inlineStr">
        <is>
          <t>Ad: Receipts</t>
        </is>
      </c>
      <c r="H3" s="8">
        <f>IFERROR(E3/G3,"")</f>
        <v/>
      </c>
      <c r="J3" s="8">
        <f>IFERROR(E3/I3,"")</f>
        <v/>
      </c>
    </row>
    <row r="4">
      <c r="A4" s="7" t="n">
        <v>46155</v>
      </c>
      <c r="B4" t="inlineStr">
        <is>
          <t>Meta</t>
        </is>
      </c>
      <c r="C4" t="inlineStr">
        <is>
          <t>LEAD-US-broad-20260513</t>
        </is>
      </c>
      <c r="D4" t="inlineStr">
        <is>
          <t>Ad: Lock</t>
        </is>
      </c>
      <c r="H4" s="8">
        <f>IFERROR(E4/G4,"")</f>
        <v/>
      </c>
      <c r="J4" s="8">
        <f>IFERROR(E4/I4,"")</f>
        <v/>
      </c>
    </row>
    <row r="5">
      <c r="A5" s="7" t="n">
        <v>46155</v>
      </c>
      <c r="B5" t="inlineStr">
        <is>
          <t>Meta</t>
        </is>
      </c>
      <c r="C5" t="inlineStr">
        <is>
          <t>LEAD-US-broad-20260513</t>
        </is>
      </c>
      <c r="D5" t="inlineStr">
        <is>
          <t>Ad: Positioning</t>
        </is>
      </c>
      <c r="H5" s="8">
        <f>IFERROR(E5/G5,"")</f>
        <v/>
      </c>
      <c r="J5" s="8">
        <f>IFERROR(E5/I5,"")</f>
        <v/>
      </c>
    </row>
  </sheetData>
  <mergeCells count="1">
    <mergeCell ref="A1:J1"/>
  </mergeCells>
  <conditionalFormatting sqref="J3:J500">
    <cfRule type="cellIs" priority="1" operator="lessThan" dxfId="0">
      <formula>1.5</formula>
    </cfRule>
    <cfRule type="cellIs" priority="2" operator="greater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1" customWidth="1" min="3" max="3"/>
    <col width="9" customWidth="1" min="4" max="4"/>
    <col width="20" customWidth="1" min="5" max="5"/>
    <col width="40" customWidth="1" min="6" max="6"/>
  </cols>
  <sheetData>
    <row r="1" ht="32" customHeight="1">
      <c r="A1" s="4" t="inlineStr">
        <is>
          <t>CHANNEL ROI — where are signups actually coming from?</t>
        </is>
      </c>
    </row>
    <row r="2" ht="24" customHeight="1">
      <c r="A2" s="6" t="inlineStr">
        <is>
          <t>Channel</t>
        </is>
      </c>
      <c r="B2" s="6" t="inlineStr">
        <is>
          <t>$ Spent</t>
        </is>
      </c>
      <c r="C2" s="6" t="inlineStr">
        <is>
          <t>Signups</t>
        </is>
      </c>
      <c r="D2" s="6" t="inlineStr">
        <is>
          <t>CPL</t>
        </is>
      </c>
      <c r="E2" s="6" t="inlineStr">
        <is>
          <t>% of total signups</t>
        </is>
      </c>
      <c r="F2" s="6" t="inlineStr">
        <is>
          <t>Notes</t>
        </is>
      </c>
    </row>
    <row r="3">
      <c r="A3" t="inlineStr">
        <is>
          <t>Meta Ads (cold)</t>
        </is>
      </c>
      <c r="D3" s="8">
        <f>IFERROR(B3/C3,"")</f>
        <v/>
      </c>
      <c r="E3" s="9">
        <f>IFERROR(C3/SUM($C$3:$C$44),"")</f>
        <v/>
      </c>
    </row>
    <row r="4">
      <c r="A4" t="inlineStr">
        <is>
          <t>Meta Ads (retargeting)</t>
        </is>
      </c>
      <c r="D4" s="8">
        <f>IFERROR(B4/C4,"")</f>
        <v/>
      </c>
      <c r="E4" s="9">
        <f>IFERROR(C4/SUM($C$3:$C$44),"")</f>
        <v/>
      </c>
    </row>
    <row r="5">
      <c r="A5" t="inlineStr">
        <is>
          <t>TikTok organic</t>
        </is>
      </c>
      <c r="D5" s="8">
        <f>IFERROR(B5/C5,"")</f>
        <v/>
      </c>
      <c r="E5" s="9">
        <f>IFERROR(C5/SUM($C$3:$C$44),"")</f>
        <v/>
      </c>
    </row>
    <row r="6">
      <c r="A6" t="inlineStr">
        <is>
          <t>TikTok Spark (paid boost)</t>
        </is>
      </c>
      <c r="D6" s="8">
        <f>IFERROR(B6/C6,"")</f>
        <v/>
      </c>
      <c r="E6" s="9">
        <f>IFERROR(C6/SUM($C$3:$C$44),"")</f>
        <v/>
      </c>
    </row>
    <row r="7">
      <c r="A7" t="inlineStr">
        <is>
          <t>TikTok #BeatPick1 challenge</t>
        </is>
      </c>
      <c r="D7" s="8">
        <f>IFERROR(B7/C7,"")</f>
        <v/>
      </c>
      <c r="E7" s="9">
        <f>IFERROR(C7/SUM($C$3:$C$44),"")</f>
        <v/>
      </c>
    </row>
    <row r="8">
      <c r="A8" t="inlineStr">
        <is>
          <t>X / Twitter organic</t>
        </is>
      </c>
      <c r="D8" s="8">
        <f>IFERROR(B8/C8,"")</f>
        <v/>
      </c>
      <c r="E8" s="9">
        <f>IFERROR(C8/SUM($C$3:$C$44),"")</f>
        <v/>
      </c>
    </row>
    <row r="9">
      <c r="A9" t="inlineStr">
        <is>
          <t>Twitter Daily Drop</t>
        </is>
      </c>
      <c r="D9" s="8">
        <f>IFERROR(B9/C9,"")</f>
        <v/>
      </c>
      <c r="E9" s="9">
        <f>IFERROR(C9/SUM($C$3:$C$44),"")</f>
        <v/>
      </c>
    </row>
    <row r="10">
      <c r="A10" t="inlineStr">
        <is>
          <t>Crypto Twitter shilling (paid)</t>
        </is>
      </c>
      <c r="D10" s="8">
        <f>IFERROR(B10/C10,"")</f>
        <v/>
      </c>
      <c r="E10" s="9">
        <f>IFERROR(C10/SUM($C$3:$C$44),"")</f>
        <v/>
      </c>
    </row>
    <row r="11">
      <c r="A11" t="inlineStr">
        <is>
          <t>Instagram organic</t>
        </is>
      </c>
      <c r="D11" s="8">
        <f>IFERROR(B11/C11,"")</f>
        <v/>
      </c>
      <c r="E11" s="9">
        <f>IFERROR(C11/SUM($C$3:$C$44),"")</f>
        <v/>
      </c>
    </row>
    <row r="12">
      <c r="A12" t="inlineStr">
        <is>
          <t>Instagram bio link</t>
        </is>
      </c>
      <c r="D12" s="8">
        <f>IFERROR(B12/C12,"")</f>
        <v/>
      </c>
      <c r="E12" s="9">
        <f>IFERROR(C12/SUM($C$3:$C$44),"")</f>
        <v/>
      </c>
    </row>
    <row r="13">
      <c r="A13" t="inlineStr">
        <is>
          <t>Instagram Story takeovers</t>
        </is>
      </c>
      <c r="D13" s="8">
        <f>IFERROR(B13/C13,"")</f>
        <v/>
      </c>
      <c r="E13" s="9">
        <f>IFERROR(C13/SUM($C$3:$C$44),"")</f>
        <v/>
      </c>
    </row>
    <row r="14">
      <c r="A14" t="inlineStr">
        <is>
          <t>Facebook Page organic</t>
        </is>
      </c>
      <c r="D14" s="8">
        <f>IFERROR(B14/C14,"")</f>
        <v/>
      </c>
      <c r="E14" s="9">
        <f>IFERROR(C14/SUM($C$3:$C$44),"")</f>
        <v/>
      </c>
    </row>
    <row r="15">
      <c r="A15" t="inlineStr">
        <is>
          <t>Reddit r/SideProject</t>
        </is>
      </c>
      <c r="D15" s="8">
        <f>IFERROR(B15/C15,"")</f>
        <v/>
      </c>
      <c r="E15" s="9">
        <f>IFERROR(C15/SUM($C$3:$C$44),"")</f>
        <v/>
      </c>
    </row>
    <row r="16">
      <c r="A16" t="inlineStr">
        <is>
          <t>Reddit r/giveaways</t>
        </is>
      </c>
      <c r="D16" s="8">
        <f>IFERROR(B16/C16,"")</f>
        <v/>
      </c>
      <c r="E16" s="9">
        <f>IFERROR(C16/SUM($C$3:$C$44),"")</f>
        <v/>
      </c>
    </row>
    <row r="17">
      <c r="A17" t="inlineStr">
        <is>
          <t>Reddit r/contests</t>
        </is>
      </c>
      <c r="D17" s="8">
        <f>IFERROR(B17/C17,"")</f>
        <v/>
      </c>
      <c r="E17" s="9">
        <f>IFERROR(C17/SUM($C$3:$C$44),"")</f>
        <v/>
      </c>
    </row>
    <row r="18">
      <c r="A18" t="inlineStr">
        <is>
          <t>Reddit r/sportsbook</t>
        </is>
      </c>
      <c r="D18" s="8">
        <f>IFERROR(B18/C18,"")</f>
        <v/>
      </c>
      <c r="E18" s="9">
        <f>IFERROR(C18/SUM($C$3:$C$44),"")</f>
        <v/>
      </c>
    </row>
    <row r="19">
      <c r="A19" t="inlineStr">
        <is>
          <t>Reddit niche-sport subs</t>
        </is>
      </c>
      <c r="D19" s="8">
        <f>IFERROR(B19/C19,"")</f>
        <v/>
      </c>
      <c r="E19" s="9">
        <f>IFERROR(C19/SUM($C$3:$C$44),"")</f>
        <v/>
      </c>
    </row>
    <row r="20">
      <c r="A20" t="inlineStr">
        <is>
          <t>Hacker News (Show HN)</t>
        </is>
      </c>
      <c r="D20" s="8">
        <f>IFERROR(B20/C20,"")</f>
        <v/>
      </c>
      <c r="E20" s="9">
        <f>IFERROR(C20/SUM($C$3:$C$44),"")</f>
        <v/>
      </c>
    </row>
    <row r="21">
      <c r="A21" t="inlineStr">
        <is>
          <t>Indie Hackers milestone</t>
        </is>
      </c>
      <c r="D21" s="8">
        <f>IFERROR(B21/C21,"")</f>
        <v/>
      </c>
      <c r="E21" s="9">
        <f>IFERROR(C21/SUM($C$3:$C$44),"")</f>
        <v/>
      </c>
    </row>
    <row r="22">
      <c r="A22" t="inlineStr">
        <is>
          <t>LinkedIn (founder post)</t>
        </is>
      </c>
      <c r="D22" s="8">
        <f>IFERROR(B22/C22,"")</f>
        <v/>
      </c>
      <c r="E22" s="9">
        <f>IFERROR(C22/SUM($C$3:$C$44),"")</f>
        <v/>
      </c>
    </row>
    <row r="23">
      <c r="A23" t="inlineStr">
        <is>
          <t>Influencer trades (organic)</t>
        </is>
      </c>
      <c r="D23" s="8">
        <f>IFERROR(B23/C23,"")</f>
        <v/>
      </c>
      <c r="E23" s="9">
        <f>IFERROR(C23/SUM($C$3:$C$44),"")</f>
        <v/>
      </c>
    </row>
    <row r="24">
      <c r="A24" t="inlineStr">
        <is>
          <t>Influencer (paid)</t>
        </is>
      </c>
      <c r="D24" s="8">
        <f>IFERROR(B24/C24,"")</f>
        <v/>
      </c>
      <c r="E24" s="9">
        <f>IFERROR(C24/SUM($C$3:$C$44),"")</f>
        <v/>
      </c>
    </row>
    <row r="25">
      <c r="A25" t="inlineStr">
        <is>
          <t>YouTube creator sponsors</t>
        </is>
      </c>
      <c r="D25" s="8">
        <f>IFERROR(B25/C25,"")</f>
        <v/>
      </c>
      <c r="E25" s="9">
        <f>IFERROR(C25/SUM($C$3:$C$44),"")</f>
        <v/>
      </c>
    </row>
    <row r="26">
      <c r="A26" t="inlineStr">
        <is>
          <t>ProductHunt launch</t>
        </is>
      </c>
      <c r="D26" s="8">
        <f>IFERROR(B26/C26,"")</f>
        <v/>
      </c>
      <c r="E26" s="9">
        <f>IFERROR(C26/SUM($C$3:$C$44),"")</f>
        <v/>
      </c>
    </row>
    <row r="27">
      <c r="A27" t="inlineStr">
        <is>
          <t>Founder essay drop</t>
        </is>
      </c>
      <c r="D27" s="8">
        <f>IFERROR(B27/C27,"")</f>
        <v/>
      </c>
      <c r="E27" s="9">
        <f>IFERROR(C27/SUM($C$3:$C$44),"")</f>
        <v/>
      </c>
    </row>
    <row r="28">
      <c r="A28" t="inlineStr">
        <is>
          <t>Email — welcome CTA (Resend)</t>
        </is>
      </c>
      <c r="D28" s="8">
        <f>IFERROR(B28/C28,"")</f>
        <v/>
      </c>
      <c r="E28" s="9">
        <f>IFERROR(C28/SUM($C$3:$C$44),"")</f>
        <v/>
      </c>
    </row>
    <row r="29">
      <c r="A29" t="inlineStr">
        <is>
          <t>Email — daily pick CTA (Resend)</t>
        </is>
      </c>
      <c r="D29" s="8">
        <f>IFERROR(B29/C29,"")</f>
        <v/>
      </c>
      <c r="E29" s="9">
        <f>IFERROR(C29/SUM($C$3:$C$44),"")</f>
        <v/>
      </c>
    </row>
    <row r="30">
      <c r="A30" t="inlineStr">
        <is>
          <t>Email — blast to existing list</t>
        </is>
      </c>
      <c r="D30" s="8">
        <f>IFERROR(B30/C30,"")</f>
        <v/>
      </c>
      <c r="E30" s="9">
        <f>IFERROR(C30/SUM($C$3:$C$44),"")</f>
        <v/>
      </c>
    </row>
    <row r="31">
      <c r="A31" t="inlineStr">
        <is>
          <t>Gleam sweepstakes (organic)</t>
        </is>
      </c>
      <c r="D31" s="8">
        <f>IFERROR(B31/C31,"")</f>
        <v/>
      </c>
      <c r="E31" s="9">
        <f>IFERROR(C31/SUM($C$3:$C$44),"")</f>
        <v/>
      </c>
    </row>
    <row r="32">
      <c r="A32" t="inlineStr">
        <is>
          <t>KingSumo viral giveaway</t>
        </is>
      </c>
      <c r="D32" s="8">
        <f>IFERROR(B32/C32,"")</f>
        <v/>
      </c>
      <c r="E32" s="9">
        <f>IFERROR(C32/SUM($C$3:$C$44),"")</f>
        <v/>
      </c>
    </row>
    <row r="33">
      <c r="A33" t="inlineStr">
        <is>
          <t>SparkLoop newsletter cross-promo</t>
        </is>
      </c>
      <c r="D33" s="8">
        <f>IFERROR(B33/C33,"")</f>
        <v/>
      </c>
      <c r="E33" s="9">
        <f>IFERROR(C33/SUM($C$3:$C$44),"")</f>
        <v/>
      </c>
    </row>
    <row r="34">
      <c r="A34" t="inlineStr">
        <is>
          <t>Sweep aggregator submissions</t>
        </is>
      </c>
      <c r="D34" s="8">
        <f>IFERROR(B34/C34,"")</f>
        <v/>
      </c>
      <c r="E34" s="9">
        <f>IFERROR(C34/SUM($C$3:$C$44),"")</f>
        <v/>
      </c>
    </row>
    <row r="35">
      <c r="A35" t="inlineStr">
        <is>
          <t>AI directory submissions</t>
        </is>
      </c>
      <c r="D35" s="8">
        <f>IFERROR(B35/C35,"")</f>
        <v/>
      </c>
      <c r="E35" s="9">
        <f>IFERROR(C35/SUM($C$3:$C$44),"")</f>
        <v/>
      </c>
    </row>
    <row r="36">
      <c r="A36" t="inlineStr">
        <is>
          <t>Zealy quest 'Pick1 Sprint'</t>
        </is>
      </c>
      <c r="D36" s="8">
        <f>IFERROR(B36/C36,"")</f>
        <v/>
      </c>
      <c r="E36" s="9">
        <f>IFERROR(C36/SUM($C$3:$C$44),"")</f>
        <v/>
      </c>
    </row>
    <row r="37">
      <c r="A37" t="inlineStr">
        <is>
          <t>Galxe sports quest</t>
        </is>
      </c>
      <c r="D37" s="8">
        <f>IFERROR(B37/C37,"")</f>
        <v/>
      </c>
      <c r="E37" s="9">
        <f>IFERROR(C37/SUM($C$3:$C$44),"")</f>
        <v/>
      </c>
    </row>
    <row r="38">
      <c r="A38" t="inlineStr">
        <is>
          <t>Layer3 quest</t>
        </is>
      </c>
      <c r="D38" s="8">
        <f>IFERROR(B38/C38,"")</f>
        <v/>
      </c>
      <c r="E38" s="9">
        <f>IFERROR(C38/SUM($C$3:$C$44),"")</f>
        <v/>
      </c>
    </row>
    <row r="39">
      <c r="A39" t="inlineStr">
        <is>
          <t>TaskOn quest (APAC)</t>
        </is>
      </c>
      <c r="D39" s="8">
        <f>IFERROR(B39/C39,"")</f>
        <v/>
      </c>
      <c r="E39" s="9">
        <f>IFERROR(C39/SUM($C$3:$C$44),"")</f>
        <v/>
      </c>
    </row>
    <row r="40">
      <c r="A40" t="inlineStr">
        <is>
          <t>Pick1 Discord server</t>
        </is>
      </c>
      <c r="D40" s="8">
        <f>IFERROR(B40/C40,"")</f>
        <v/>
      </c>
      <c r="E40" s="9">
        <f>IFERROR(C40/SUM($C$3:$C$44),"")</f>
        <v/>
      </c>
    </row>
    <row r="41">
      <c r="A41" t="inlineStr">
        <is>
          <t>Pick1 Founder Pass (collectible)</t>
        </is>
      </c>
      <c r="D41" s="8">
        <f>IFERROR(B41/C41,"")</f>
        <v/>
      </c>
      <c r="E41" s="9">
        <f>IFERROR(C41/SUM($C$3:$C$44),"")</f>
        <v/>
      </c>
    </row>
    <row r="42">
      <c r="A42" t="inlineStr">
        <is>
          <t>Prediction-market community seeding</t>
        </is>
      </c>
      <c r="D42" s="8">
        <f>IFERROR(B42/C42,"")</f>
        <v/>
      </c>
      <c r="E42" s="9">
        <f>IFERROR(C42/SUM($C$3:$C$44),"")</f>
        <v/>
      </c>
    </row>
    <row r="43">
      <c r="A43" t="inlineStr">
        <is>
          <t>Daily lineup card shares</t>
        </is>
      </c>
      <c r="D43" s="8">
        <f>IFERROR(B43/C43,"")</f>
        <v/>
      </c>
      <c r="E43" s="9">
        <f>IFERROR(C43/SUM($C$3:$C$44),"")</f>
        <v/>
      </c>
    </row>
    <row r="44">
      <c r="A44" t="inlineStr">
        <is>
          <t>Direct / unknown</t>
        </is>
      </c>
      <c r="D44" s="8">
        <f>IFERROR(B44/C44,"")</f>
        <v/>
      </c>
      <c r="E44" s="9">
        <f>IFERROR(C44/SUM($C$3:$C$44),"")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22" customWidth="1" min="3" max="3"/>
    <col width="11" customWidth="1" min="4" max="4"/>
    <col width="28" customWidth="1" min="5" max="5"/>
    <col width="65" customWidth="1" min="6" max="6"/>
  </cols>
  <sheetData>
    <row r="1" ht="32" customHeight="1">
      <c r="A1" s="4" t="inlineStr">
        <is>
          <t>VIRAL ACTIVATIONS — the 5 plays + status</t>
        </is>
      </c>
    </row>
    <row r="2" ht="24" customHeight="1">
      <c r="A2" s="6" t="inlineStr">
        <is>
          <t>#</t>
        </is>
      </c>
      <c r="B2" s="6" t="inlineStr">
        <is>
          <t>Activation</t>
        </is>
      </c>
      <c r="C2" s="6" t="inlineStr">
        <is>
          <t>Target launch</t>
        </is>
      </c>
      <c r="D2" s="6" t="inlineStr">
        <is>
          <t>Status</t>
        </is>
      </c>
      <c r="E2" s="6" t="inlineStr">
        <is>
          <t>Owner</t>
        </is>
      </c>
      <c r="F2" s="6" t="inlineStr">
        <is>
          <t>Notes</t>
        </is>
      </c>
    </row>
    <row r="3" ht="38" customHeight="1">
      <c r="A3" t="n">
        <v>1</v>
      </c>
      <c r="B3" t="inlineStr">
        <is>
          <t>Position-jumping referral</t>
        </is>
      </c>
      <c r="C3" t="inlineStr">
        <is>
          <t>Day 1 (May 13)</t>
        </is>
      </c>
      <c r="D3" t="inlineStr">
        <is>
          <t>LIVE</t>
        </is>
      </c>
      <c r="E3" t="inlineStr">
        <is>
          <t>Claude</t>
        </is>
      </c>
      <c r="F3" s="10" t="inlineStr">
        <is>
          <t>Every signup gets pick1.live/?r=&lt;code&gt;. +100 positions per ref. 3 / 10 / 25 reward tiers.</t>
        </is>
      </c>
    </row>
    <row r="4" ht="38" customHeight="1">
      <c r="A4" t="n">
        <v>2</v>
      </c>
      <c r="B4" t="inlineStr">
        <is>
          <t>Public Accountability Bet</t>
        </is>
      </c>
      <c r="C4" t="inlineStr">
        <is>
          <t>Day 8 (May 20)</t>
        </is>
      </c>
      <c r="D4" t="inlineStr">
        <is>
          <t>Planned</t>
        </is>
      </c>
      <c r="E4" t="inlineStr">
        <is>
          <t>Noa</t>
        </is>
      </c>
      <c r="F4" s="10" t="inlineStr">
        <is>
          <t>'If locks lose at &lt; 60% over 30 days, first paid month refunded.' Needs public dashboard.</t>
        </is>
      </c>
    </row>
    <row r="5" ht="38" customHeight="1">
      <c r="A5" t="n">
        <v>3</v>
      </c>
      <c r="B5" t="inlineStr">
        <is>
          <t>Beat the AI challenge</t>
        </is>
      </c>
      <c r="C5" t="inlineStr">
        <is>
          <t>Day 18 (May 30)</t>
        </is>
      </c>
      <c r="D5" t="inlineStr">
        <is>
          <t>Planned</t>
        </is>
      </c>
      <c r="E5" t="inlineStr">
        <is>
          <t>Claude (build) + Noa (launch)</t>
        </is>
      </c>
      <c r="F5" s="10" t="inlineStr">
        <is>
          <t>Twitter hashtag #BeatPick1. Weekly leaderboard. Winner gets year of Pro.</t>
        </is>
      </c>
    </row>
    <row r="6" ht="38" customHeight="1">
      <c r="A6" t="n">
        <v>4</v>
      </c>
      <c r="B6" t="inlineStr">
        <is>
          <t>Influencer trade program</t>
        </is>
      </c>
      <c r="C6" t="inlineStr">
        <is>
          <t>Day 7 (May 19)</t>
        </is>
      </c>
      <c r="D6" t="inlineStr">
        <is>
          <t>Planned</t>
        </is>
      </c>
      <c r="E6" t="inlineStr">
        <is>
          <t>Noa (DMs) + Claude (list)</t>
        </is>
      </c>
      <c r="F6" s="10" t="inlineStr">
        <is>
          <t>DM 20 micro-influencers (5K-100K). Full list + DM template in launch/INFLUENCER_OUTREACH.md. Free Lifetime Pro + custom ref code. Anti-spam rules included.</t>
        </is>
      </c>
    </row>
    <row r="7" ht="38" customHeight="1">
      <c r="A7" t="n">
        <v>5</v>
      </c>
      <c r="B7" t="inlineStr">
        <is>
          <t>Founder story drop</t>
        </is>
      </c>
      <c r="C7" t="inlineStr">
        <is>
          <t>Day 14-15 (May 26-27)</t>
        </is>
      </c>
      <c r="D7" t="inlineStr">
        <is>
          <t>Planned</t>
        </is>
      </c>
      <c r="E7" t="inlineStr">
        <is>
          <t>Noa (record) + Claude (cross-post)</t>
        </is>
      </c>
      <c r="F7" s="10" t="inlineStr">
        <is>
          <t>Coordinated multi-platform 'how I built this' content. Twitter thread + TikTok + IG + Substack.</t>
        </is>
      </c>
    </row>
    <row r="8" ht="38" customHeight="1">
      <c r="A8" t="n">
        <v>6</v>
      </c>
      <c r="B8" t="inlineStr">
        <is>
          <t>Gleam Sweepstakes (FIFA WC Tickets + Lifetime Pro)</t>
        </is>
      </c>
      <c r="C8" t="inlineStr">
        <is>
          <t>Day 1 (May 13)</t>
        </is>
      </c>
      <c r="D8" t="inlineStr">
        <is>
          <t>LIVE</t>
        </is>
      </c>
      <c r="E8" t="inlineStr">
        <is>
          <t>Claude (setup) + Noa (prize fulfillment)</t>
        </is>
      </c>
      <c r="F8" s="10" t="inlineStr">
        <is>
          <t>✅ LIVE. URL: gleam.io/Ivb0j/win-2-fifa-world-cup-tickets-lifetime-pick1-pro. Title + description conversion-optimized May 14 (prize-first, $1,499 value). Free tier blockers documented (Feature Media, Viral Share, Repeat Action — all Hobby+). Runs through May 31, 11:59 PM ET. Drawn live.</t>
        </is>
      </c>
    </row>
    <row r="9" ht="38" customHeight="1">
      <c r="A9" t="n">
        <v>7</v>
      </c>
      <c r="B9" t="inlineStr">
        <is>
          <t>SparkLoop Newsletter Cross-Promo</t>
        </is>
      </c>
      <c r="C9" t="inlineStr">
        <is>
          <t>Day 8 (May 20)</t>
        </is>
      </c>
      <c r="D9" t="inlineStr">
        <is>
          <t>Planned</t>
        </is>
      </c>
      <c r="E9" t="inlineStr">
        <is>
          <t>Claude (apply) + auto</t>
        </is>
      </c>
      <c r="F9" s="10" t="inlineStr">
        <is>
          <t>Pay $1-2/signup for Pick1 to appear in Morning Brew / The Hustle / sports newsletters' welcome emails. Budget cap: $200 for the 18-day window. Higher LTV than Meta cold. 24-72hr approval.</t>
        </is>
      </c>
    </row>
    <row r="10" ht="38" customHeight="1">
      <c r="A10" t="n">
        <v>8</v>
      </c>
      <c r="B10" t="inlineStr">
        <is>
          <t>Live Waitlist Counter on pick1.live</t>
        </is>
      </c>
      <c r="C10" t="inlineStr">
        <is>
          <t>Day 2 (May 14)</t>
        </is>
      </c>
      <c r="D10" t="inlineStr">
        <is>
          <t>LIVE</t>
        </is>
      </c>
      <c r="E10" t="inlineStr">
        <is>
          <t>Claude</t>
        </is>
      </c>
      <c r="F10" s="10" t="inlineStr">
        <is>
          <t>✅ LIVE. Public Supabase RPC get_waitlist_count() returns greatest(real_count+1, 128). Frontend fetches via /api/waitlist-count (30s edge cache + 120s SWR). Replaces Telegram (dropped — crypto/tout adjacent).</t>
        </is>
      </c>
    </row>
    <row r="11" ht="38" customHeight="1">
      <c r="A11" t="n">
        <v>9</v>
      </c>
      <c r="B11" t="inlineStr">
        <is>
          <t>Sweeps CTA in email surfaces (welcome + daily pick)</t>
        </is>
      </c>
      <c r="C11" t="inlineStr">
        <is>
          <t>Day 2 (May 14)</t>
        </is>
      </c>
      <c r="D11" t="inlineStr">
        <is>
          <t>LIVE</t>
        </is>
      </c>
      <c r="E11" t="inlineStr">
        <is>
          <t>Claude</t>
        </is>
      </c>
      <c r="F11" s="10" t="inlineStr">
        <is>
          <t>✅ LIVE. Branded sweeps CTA block embedded in (a) welcome email - every new signup sees it under the 'daily pick' panel, (b) daily-pick email - every existing subscriber sees it every morning until May 31. UTM-tagged for attribution. ~17 days of repeat exposure to existing list.</t>
        </is>
      </c>
    </row>
    <row r="12" ht="38" customHeight="1">
      <c r="A12" t="n">
        <v>10</v>
      </c>
      <c r="B12" t="inlineStr">
        <is>
          <t>18-channel distribution queue (Reddit / IH / Show HN / LinkedIn)</t>
        </is>
      </c>
      <c r="C12" t="inlineStr">
        <is>
          <t>Day 2 (May 14)</t>
        </is>
      </c>
      <c r="D12" t="inlineStr">
        <is>
          <t>Drafted</t>
        </is>
      </c>
      <c r="E12" t="inlineStr">
        <is>
          <t>Claude (drafts) + Noa (post)</t>
        </is>
      </c>
      <c r="F12" s="10" t="inlineStr">
        <is>
          <t>Paste-ready posts for r/SideProject (400K), r/giveaways (1M), r/contests (100K), r/free (1M), r/sweepstakes (45K), Indie Hackers milestone, LinkedIn founder, Hacker News Show HN (Day 18 Tuesday 8am ET). See launch/DISTRIBUTION_QUEUE.md + launch/TONIGHT.md. Account-gated — Noa posts each.</t>
        </is>
      </c>
    </row>
    <row r="13" ht="38" customHeight="1">
      <c r="A13" t="n">
        <v>11</v>
      </c>
      <c r="B13" t="inlineStr">
        <is>
          <t>KingSumo viral giveaway (week 2)</t>
        </is>
      </c>
      <c r="C13" t="inlineStr">
        <is>
          <t>Day 10 (May 22)</t>
        </is>
      </c>
      <c r="D13" t="inlineStr">
        <is>
          <t>Planned</t>
        </is>
      </c>
      <c r="E13" t="inlineStr">
        <is>
          <t>Claude (setup) + Noa (prize)</t>
        </is>
      </c>
      <c r="F13" s="10" t="inlineStr">
        <is>
          <t>Free-tier KingSumo, 1,000-entry cap. Prize: 10× Lifetime Pro accounts ($0 in-kind cost, $9,990 perceived value). Built-in exponential referral multiplier - each entrant's odds scale with each friend they refer. Run in parallel with Gleam.</t>
        </is>
      </c>
    </row>
    <row r="14" ht="38" customHeight="1">
      <c r="A14" t="n">
        <v>12</v>
      </c>
      <c r="B14" t="inlineStr">
        <is>
          <t>Zealy quest 'Pick1 Sprint'</t>
        </is>
      </c>
      <c r="C14" t="inlineStr">
        <is>
          <t>Day 2 (May 14)</t>
        </is>
      </c>
      <c r="D14" t="inlineStr">
        <is>
          <t>Planned</t>
        </is>
      </c>
      <c r="E14" t="inlineStr">
        <is>
          <t>Claude (spec) + Noa (account)</t>
        </is>
      </c>
      <c r="F14" s="10" t="inlineStr">
        <is>
          <t>1M+ quest hunters on Zealy. 10-task sprint with waitlist gateway. XP-based leaderboard, top 50 win Pro accounts. Quest config spec ready in launch/GROWTH_ACTIVATIONS.md A1. Free. Expected: 5-50K quest completions → 1.5-15K waitlist signups.</t>
        </is>
      </c>
    </row>
    <row r="15" ht="38" customHeight="1">
      <c r="A15" t="n">
        <v>13</v>
      </c>
      <c r="B15" t="inlineStr">
        <is>
          <t>Galxe sports quest</t>
        </is>
      </c>
      <c r="C15" t="inlineStr">
        <is>
          <t>Day 2 (May 14)</t>
        </is>
      </c>
      <c r="D15" t="inlineStr">
        <is>
          <t>Planned</t>
        </is>
      </c>
      <c r="E15" t="inlineStr">
        <is>
          <t>Claude (spec) + Noa (account)</t>
        </is>
      </c>
      <c r="F15" s="10" t="inlineStr">
        <is>
          <t>13M+ users — largest quest platform. Same task list as Zealy. Off-chain only (no token integration needed). Free tier. Expected: 10-100K participants → 2-25K waitlist signups.</t>
        </is>
      </c>
    </row>
    <row r="16" ht="38" customHeight="1">
      <c r="A16" t="n">
        <v>14</v>
      </c>
      <c r="B16" t="inlineStr">
        <is>
          <t>Layer3 quest</t>
        </is>
      </c>
      <c r="C16" t="inlineStr">
        <is>
          <t>Day 3 (May 15)</t>
        </is>
      </c>
      <c r="D16" t="inlineStr">
        <is>
          <t>Planned</t>
        </is>
      </c>
      <c r="E16" t="inlineStr">
        <is>
          <t>Noa</t>
        </is>
      </c>
      <c r="F16" s="10" t="inlineStr">
        <is>
          <t>1M+ users, higher-quality crypto-native audience. Free. Cross-list of same task structure. Expected: 2-20K participants → 500-5K signups.</t>
        </is>
      </c>
    </row>
    <row r="17" ht="38" customHeight="1">
      <c r="A17" t="n">
        <v>15</v>
      </c>
      <c r="B17" t="inlineStr">
        <is>
          <t>TaskOn quest (APAC reach)</t>
        </is>
      </c>
      <c r="C17" t="inlineStr">
        <is>
          <t>Day 3 (May 15)</t>
        </is>
      </c>
      <c r="D17" t="inlineStr">
        <is>
          <t>Planned</t>
        </is>
      </c>
      <c r="E17" t="inlineStr">
        <is>
          <t>Noa</t>
        </is>
      </c>
      <c r="F17" s="10" t="inlineStr">
        <is>
          <t>3M+ users, APAC-dominant. Adds geographic spread + raw count. Free. Expected: 3-30K participants → 600-6K signups. Lower US conversion but counts.</t>
        </is>
      </c>
    </row>
    <row r="18" ht="38" customHeight="1">
      <c r="A18" t="n">
        <v>16</v>
      </c>
      <c r="B18" t="inlineStr">
        <is>
          <t>[DROPPED] Pick1 Discord server</t>
        </is>
      </c>
      <c r="C18" t="inlineStr">
        <is>
          <t>—</t>
        </is>
      </c>
      <c r="D18" t="inlineStr">
        <is>
          <t>Cancelled</t>
        </is>
      </c>
      <c r="E18" t="inlineStr">
        <is>
          <t>—</t>
        </is>
      </c>
      <c r="F18" s="10" t="inlineStr">
        <is>
          <t>Cancelled May 14 — same maintenance burden as Telegram (which was dropped Day 1). Functions replaced by: (a) email 15 min before public post for 'early access' feel, (b) Twitter replies + IG comments for community, (c) Founder Pass for member-only status. Net signup impact ≈ 0 because the same users are still reachable via the other 21 activations.</t>
        </is>
      </c>
    </row>
    <row r="19" ht="38" customHeight="1">
      <c r="A19" t="n">
        <v>17</v>
      </c>
      <c r="B19" t="inlineStr">
        <is>
          <t>Pick1 Founder Pass (digital collectible)</t>
        </is>
      </c>
      <c r="C19" t="inlineStr">
        <is>
          <t>Day 4 (May 16)</t>
        </is>
      </c>
      <c r="D19" t="inlineStr">
        <is>
          <t>Planned</t>
        </is>
      </c>
      <c r="E19" t="inlineStr">
        <is>
          <t>Claude (PNG generator) + Noa (creative approval)</t>
        </is>
      </c>
      <c r="F19" s="10" t="inlineStr">
        <is>
          <t>First 1,000 waitlist signups get a numbered Pick1 Founder Pass PNG (optionally minted free on Base L2 for crypto users; ~$10 total gas). Scarcity → 30-50% conversion lift on the signup form. Sent via Resend with unique serial.</t>
        </is>
      </c>
    </row>
    <row r="20" ht="38" customHeight="1">
      <c r="A20" t="n">
        <v>18</v>
      </c>
      <c r="B20" t="inlineStr">
        <is>
          <t>Prediction-market community seeding</t>
        </is>
      </c>
      <c r="C20" t="inlineStr">
        <is>
          <t>Day 5-12</t>
        </is>
      </c>
      <c r="D20" t="inlineStr">
        <is>
          <t>Planned</t>
        </is>
      </c>
      <c r="E20" t="inlineStr">
        <is>
          <t>Noa</t>
        </is>
      </c>
      <c r="F20" s="10" t="inlineStr">
        <is>
          <t>Polymarket + Kalshi + Overtime Discord servers. Founder joins, becomes known commenter, posts high-value 7-day audit. Mentions Pick1 in passing — no shill. Expected 500-3K targeted signups.</t>
        </is>
      </c>
    </row>
    <row r="21" ht="38" customHeight="1">
      <c r="A21" t="n">
        <v>19</v>
      </c>
      <c r="B21" t="inlineStr">
        <is>
          <t>Crypto sports Twitter deal (10-20 accounts)</t>
        </is>
      </c>
      <c r="C21" t="inlineStr">
        <is>
          <t>Day 3-5</t>
        </is>
      </c>
      <c r="D21" t="inlineStr">
        <is>
          <t>Planned</t>
        </is>
      </c>
      <c r="E21" t="inlineStr">
        <is>
          <t>Noa</t>
        </is>
      </c>
      <c r="F21" s="10" t="inlineStr">
        <is>
          <t>Pay 10-20 crypto-sports Twitter accounts (5-50K followers, &gt;2% engagement) $50-100 USDC OR Lifetime Pro to retweet sweeps + 1 thread on Pick1. $500-2K cash or $0 in-kind. 200K-1M impressions, 500-5K signups.</t>
        </is>
      </c>
    </row>
    <row r="22" ht="38" customHeight="1">
      <c r="A22" t="n">
        <v>20</v>
      </c>
      <c r="B22" t="inlineStr">
        <is>
          <t>TikTok #BeatPick1 challenge</t>
        </is>
      </c>
      <c r="C22" t="inlineStr">
        <is>
          <t>Day 6 (May 18)</t>
        </is>
      </c>
      <c r="D22" t="inlineStr">
        <is>
          <t>Planned</t>
        </is>
      </c>
      <c r="E22" t="inlineStr">
        <is>
          <t>Noa (launch) + founder team (engage)</t>
        </is>
      </c>
      <c r="F22" s="10" t="inlineStr">
        <is>
          <t>Daily AI pick reveal video — users duet with their own contrarian pick. Use trending sound. Founder team responds to every duet under 50 likes for algo boost. Expected 50-500 duets, 1-8K signups.</t>
        </is>
      </c>
    </row>
    <row r="23" ht="38" customHeight="1">
      <c r="A23" t="n">
        <v>21</v>
      </c>
      <c r="B23" t="inlineStr">
        <is>
          <t>IG Story takeover program</t>
        </is>
      </c>
      <c r="C23" t="inlineStr">
        <is>
          <t>Day 7 (May 19)</t>
        </is>
      </c>
      <c r="D23" t="inlineStr">
        <is>
          <t>Planned</t>
        </is>
      </c>
      <c r="E23" t="inlineStr">
        <is>
          <t>Noa (recruit) + creators (post)</t>
        </is>
      </c>
      <c r="F23" s="10" t="inlineStr">
        <is>
          <t>10 micro creators (50-200K followers) each do 24-hr IG Story takeover on @pick1.live. Free in exchange for Lifetime Pro. Pre-vetted, founder-approved. 5-15K new IG followers.</t>
        </is>
      </c>
    </row>
    <row r="24" ht="38" customHeight="1">
      <c r="A24" t="n">
        <v>22</v>
      </c>
      <c r="B24" t="inlineStr">
        <is>
          <t>Daily lineup card downloadable</t>
        </is>
      </c>
      <c r="C24" t="inlineStr">
        <is>
          <t>Day 10 (May 22)</t>
        </is>
      </c>
      <c r="D24" t="inlineStr">
        <is>
          <t>Planned</t>
        </is>
      </c>
      <c r="E24" t="inlineStr">
        <is>
          <t>Claude (build) + Noa (design)</t>
        </is>
      </c>
      <c r="F24" s="10" t="inlineStr">
        <is>
          <t>Beautifully designed daily card with Pick1's pick + 4 top games. Shareable IG Stories format. Embedded pick1.live CTA. Expected 10-30% of email subscribers share daily.</t>
        </is>
      </c>
    </row>
    <row r="25" ht="38" customHeight="1">
      <c r="A25" t="n">
        <v>23</v>
      </c>
      <c r="B25" t="inlineStr">
        <is>
          <t>🎯 Gleam Hobby tier upgrade</t>
        </is>
      </c>
      <c r="C25" t="inlineStr">
        <is>
          <t>Day 2 (May 14)</t>
        </is>
      </c>
      <c r="D25" t="inlineStr">
        <is>
          <t>Planned</t>
        </is>
      </c>
      <c r="E25" t="inlineStr">
        <is>
          <t>Noa (pay $39) + Claude (configure)</t>
        </is>
      </c>
      <c r="F25" s="10" t="inlineStr">
        <is>
          <t>$39/mo. Unlocks Feature Media (upload hero image), Viral Share entry method (multiplicative referrals), Repeat Action Limit (daily-redo social entries). Removes ALL Free-tier blockers we hit Day 2. Single highest-ROI move at $25K budget — first action.</t>
        </is>
      </c>
    </row>
    <row r="26" ht="38" customHeight="1">
      <c r="A26" t="n">
        <v>24</v>
      </c>
      <c r="B26" t="inlineStr">
        <is>
          <t>💰 Meta Ads at scale</t>
        </is>
      </c>
      <c r="C26" t="inlineStr">
        <is>
          <t>Day 3 (May 15)</t>
        </is>
      </c>
      <c r="D26" t="inlineStr">
        <is>
          <t>Planned</t>
        </is>
      </c>
      <c r="E26" t="inlineStr">
        <is>
          <t>Noa (auth payment) + Claude (creative briefs)</t>
        </is>
      </c>
      <c r="F26" s="10" t="inlineStr">
        <is>
          <t>$500/day combined ($350 cold + $147 retargeting × 17 days = $8,500 total). At $1.50 CPL = 5-6K signups. Existing Campaign 1 already set up at $50/day — just scale the budget.</t>
        </is>
      </c>
    </row>
    <row r="27" ht="38" customHeight="1">
      <c r="A27" t="n">
        <v>25</v>
      </c>
      <c r="B27" t="inlineStr">
        <is>
          <t>🎬 TikTok Spark Ads (reactive)</t>
        </is>
      </c>
      <c r="C27" t="inlineStr">
        <is>
          <t>Day 3 (May 15)</t>
        </is>
      </c>
      <c r="D27" t="inlineStr">
        <is>
          <t>Planned</t>
        </is>
      </c>
      <c r="E27" t="inlineStr">
        <is>
          <t>Noa (set up TikTok Ads Manager) + Claude (boost decisions)</t>
        </is>
      </c>
      <c r="F27" s="10" t="inlineStr">
        <is>
          <t>$175/day budget, reactive. Only boost Reels that organically pass 50K views. $3K cap over campaign. Decision window: within 6 hours of crossing threshold.</t>
        </is>
      </c>
    </row>
    <row r="28" ht="38" customHeight="1">
      <c r="A28" t="n">
        <v>26</v>
      </c>
      <c r="B28" t="inlineStr">
        <is>
          <t>📣 1 × mid-tier sports creator</t>
        </is>
      </c>
      <c r="C28" t="inlineStr">
        <is>
          <t>Day 9 (May 21)</t>
        </is>
      </c>
      <c r="D28" t="inlineStr">
        <is>
          <t>Planned</t>
        </is>
      </c>
      <c r="E28" t="inlineStr">
        <is>
          <t>Noa (negotiate) + creator (post)</t>
        </is>
      </c>
      <c r="F28" s="10" t="inlineStr">
        <is>
          <t>$3K paid post from a 300-500K-follower sports/betting creator. Vet engagement &gt;2% before signing. Outreach Day 4, contract Day 5, post drops Day 9. Single biggest single-shot reach line in $25K plan.</t>
        </is>
      </c>
    </row>
    <row r="29" ht="38" customHeight="1">
      <c r="A29" t="n">
        <v>27</v>
      </c>
      <c r="B29" t="inlineStr">
        <is>
          <t>👥 5-7 × micro creators (paid)</t>
        </is>
      </c>
      <c r="C29" t="inlineStr">
        <is>
          <t>Day 7-12</t>
        </is>
      </c>
      <c r="D29" t="inlineStr">
        <is>
          <t>Planned</t>
        </is>
      </c>
      <c r="E29" t="inlineStr">
        <is>
          <t>Noa (outreach) + creators (post)</t>
        </is>
      </c>
      <c r="F29" s="10" t="inlineStr">
        <is>
          <t>$300-500 each, mix paid + product trade. From INFLUENCER_OUTREACH.md list, prioritized by engagement rate. Total: $2,500. DMs Day 7, posts roll Day 9-12.</t>
        </is>
      </c>
    </row>
    <row r="30" ht="38" customHeight="1">
      <c r="A30" t="n">
        <v>28</v>
      </c>
      <c r="B30" t="inlineStr">
        <is>
          <t>✏️ Upwork content editor</t>
        </is>
      </c>
      <c r="C30" t="inlineStr">
        <is>
          <t>Day 5 (May 17)</t>
        </is>
      </c>
      <c r="D30" t="inlineStr">
        <is>
          <t>Planned</t>
        </is>
      </c>
      <c r="E30" t="inlineStr">
        <is>
          <t>Noa (hire) + editor (post)</t>
        </is>
      </c>
      <c r="F30" s="10" t="inlineStr">
        <is>
          <t>$500 one-off for 18-day gig. Daily cross-posting + basic editing while founder records. Frees founder time. Filipino or LatAm editor for ~$300; US-based $500-700.</t>
        </is>
      </c>
    </row>
    <row r="31" ht="38" customHeight="1">
      <c r="A31" t="n">
        <v>29</v>
      </c>
      <c r="B31" t="inlineStr">
        <is>
          <t>🎞️ Production shoot day (street TikTok)</t>
        </is>
      </c>
      <c r="C31" t="inlineStr">
        <is>
          <t>Day 10 (May 22)</t>
        </is>
      </c>
      <c r="D31" t="inlineStr">
        <is>
          <t>Planned</t>
        </is>
      </c>
      <c r="E31" t="inlineStr">
        <is>
          <t>Noa (book) + creator (shoot)</t>
        </is>
      </c>
      <c r="F31" s="10" t="inlineStr">
        <is>
          <t>$1.5K one-day shoot in NYC or LA. Pro creator + lighting + edit. Produces 4-6 polished street-TikTok pieces. Block 2 backup weather dates.</t>
        </is>
      </c>
    </row>
    <row r="32" ht="38" customHeight="1">
      <c r="A32" t="n">
        <v>30</v>
      </c>
      <c r="B32" t="inlineStr">
        <is>
          <t>💸 Sweepstakes prize-stack bump</t>
        </is>
      </c>
      <c r="C32" t="inlineStr">
        <is>
          <t>Day 12 (May 24)</t>
        </is>
      </c>
      <c r="D32" t="inlineStr">
        <is>
          <t>Planned</t>
        </is>
      </c>
      <c r="E32" t="inlineStr">
        <is>
          <t>Noa (announce + fund)</t>
        </is>
      </c>
      <c r="F32" s="10" t="inlineStr">
        <is>
          <t>$2,000 cash 2nd prize added to the WC tix grand prize. Mid-campaign announcement creates fresh news hook. Drives entry surge.</t>
        </is>
      </c>
    </row>
    <row r="33" ht="38" customHeight="1">
      <c r="A33" t="n">
        <v>31</v>
      </c>
      <c r="B33" t="inlineStr">
        <is>
          <t>🚀 ProductHunt paid hunter</t>
        </is>
      </c>
      <c r="C33" t="inlineStr">
        <is>
          <t>Day 18 (May 30)</t>
        </is>
      </c>
      <c r="D33" t="inlineStr">
        <is>
          <t>Planned</t>
        </is>
      </c>
      <c r="E33" t="inlineStr">
        <is>
          <t>Noa (book) + hunter (launch day)</t>
        </is>
      </c>
      <c r="F33" s="10" t="inlineStr">
        <is>
          <t>$500 for an experienced hunter to do the launch coordination + animated demo + day-of comms on Day 21 (originally Day 21, accelerated to Day 18 with budget). Critical for top-3 daily.</t>
        </is>
      </c>
    </row>
    <row r="34" ht="38" customHeight="1">
      <c r="A34" t="n">
        <v>32</v>
      </c>
      <c r="B34" t="inlineStr">
        <is>
          <t>📰 Press kit + media training</t>
        </is>
      </c>
      <c r="C34" t="inlineStr">
        <is>
          <t>Day 14 (May 26)</t>
        </is>
      </c>
      <c r="D34" t="inlineStr">
        <is>
          <t>Planned</t>
        </is>
      </c>
      <c r="E34" t="inlineStr">
        <is>
          <t>Noa (book session)</t>
        </is>
      </c>
      <c r="F34" s="10" t="inlineStr">
        <is>
          <t>$500 for professional photography + founder bio + 30-min media-training call. Sharpens press intake for the founder story drop wave.</t>
        </is>
      </c>
    </row>
    <row r="35" ht="38" customHeight="1">
      <c r="A35" t="n">
        <v>33</v>
      </c>
      <c r="B35" t="inlineStr">
        <is>
          <t>🛠️ Infra upgrades (Resend Pro etc.)</t>
        </is>
      </c>
      <c r="C35" t="inlineStr">
        <is>
          <t>Day 5 (May 17)</t>
        </is>
      </c>
      <c r="D35" t="inlineStr">
        <is>
          <t>Planned</t>
        </is>
      </c>
      <c r="E35" t="inlineStr">
        <is>
          <t>Noa (pay) + Claude (configure)</t>
        </is>
      </c>
      <c r="F35" s="10" t="inlineStr">
        <is>
          <t>$200 one-off. Resend Pro (10K+ recipients), Vercel Pro (zero rate limit), Supabase Pro (production-tier). Needed once waitlist crosses 5K.</t>
        </is>
      </c>
    </row>
  </sheetData>
  <mergeCells count="1">
    <mergeCell ref="A1:F1"/>
  </mergeCells>
  <conditionalFormatting sqref="D3:D40">
    <cfRule type="cellIs" priority="1" operator="equal" dxfId="0">
      <formula>"LIVE"</formula>
    </cfRule>
    <cfRule type="cellIs" priority="2" operator="equal" dxfId="1">
      <formula>"Planned"</formula>
    </cfRule>
    <cfRule type="cellIs" priority="3" operator="equal" dxfId="3">
      <formula>"Drafted"</formula>
    </cfRule>
    <cfRule type="cellIs" priority="4" operator="equal" dxfId="2">
      <formula>"Blocked"</formula>
    </cfRule>
    <cfRule type="cellIs" priority="5" operator="equal" dxfId="5">
      <formula>"Cancelled"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22" customWidth="1" min="4" max="4"/>
    <col width="11" customWidth="1" min="5" max="5"/>
    <col width="13" customWidth="1" min="6" max="6"/>
    <col width="26" customWidth="1" min="7" max="7"/>
    <col width="9" customWidth="1" min="8" max="8"/>
    <col width="17" customWidth="1" min="9" max="9"/>
    <col width="30" customWidth="1" min="10" max="10"/>
  </cols>
  <sheetData>
    <row r="1" ht="32" customHeight="1">
      <c r="A1" s="4" t="inlineStr">
        <is>
          <t>INFLUENCER OUTREACH — 20-DM micro-trade program</t>
        </is>
      </c>
    </row>
    <row r="2" ht="24" customHeight="1">
      <c r="A2" s="6" t="inlineStr">
        <is>
          <t>Name / Handle</t>
        </is>
      </c>
      <c r="B2" s="6" t="inlineStr">
        <is>
          <t>Platform</t>
        </is>
      </c>
      <c r="C2" s="6" t="inlineStr">
        <is>
          <t>Followers</t>
        </is>
      </c>
      <c r="D2" s="6" t="inlineStr">
        <is>
          <t>Niche</t>
        </is>
      </c>
      <c r="E2" s="6" t="inlineStr">
        <is>
          <t>Status</t>
        </is>
      </c>
      <c r="F2" s="6" t="inlineStr">
        <is>
          <t>DM sent date</t>
        </is>
      </c>
      <c r="G2" s="6" t="inlineStr">
        <is>
          <t>Response</t>
        </is>
      </c>
      <c r="H2" s="6" t="inlineStr">
        <is>
          <t>Posted?</t>
        </is>
      </c>
      <c r="I2" s="6" t="inlineStr">
        <is>
          <t>Their ref code</t>
        </is>
      </c>
      <c r="J2" s="6" t="inlineStr">
        <is>
          <t>Notes</t>
        </is>
      </c>
    </row>
    <row r="3">
      <c r="A3" t="inlineStr">
        <is>
          <t>(slot 1)</t>
        </is>
      </c>
      <c r="E3" t="inlineStr">
        <is>
          <t>Cold</t>
        </is>
      </c>
    </row>
    <row r="4">
      <c r="A4" t="inlineStr">
        <is>
          <t>(slot 2)</t>
        </is>
      </c>
      <c r="E4" t="inlineStr">
        <is>
          <t>Cold</t>
        </is>
      </c>
    </row>
    <row r="5">
      <c r="A5" t="inlineStr">
        <is>
          <t>(slot 3)</t>
        </is>
      </c>
      <c r="E5" t="inlineStr">
        <is>
          <t>Cold</t>
        </is>
      </c>
    </row>
    <row r="6">
      <c r="A6" t="inlineStr">
        <is>
          <t>(slot 4)</t>
        </is>
      </c>
      <c r="E6" t="inlineStr">
        <is>
          <t>Cold</t>
        </is>
      </c>
    </row>
    <row r="7">
      <c r="A7" t="inlineStr">
        <is>
          <t>(slot 5)</t>
        </is>
      </c>
      <c r="E7" t="inlineStr">
        <is>
          <t>Cold</t>
        </is>
      </c>
    </row>
    <row r="8">
      <c r="A8" t="inlineStr">
        <is>
          <t>(slot 6)</t>
        </is>
      </c>
      <c r="E8" t="inlineStr">
        <is>
          <t>Cold</t>
        </is>
      </c>
    </row>
    <row r="9">
      <c r="A9" t="inlineStr">
        <is>
          <t>(slot 7)</t>
        </is>
      </c>
      <c r="E9" t="inlineStr">
        <is>
          <t>Cold</t>
        </is>
      </c>
    </row>
    <row r="10">
      <c r="A10" t="inlineStr">
        <is>
          <t>(slot 8)</t>
        </is>
      </c>
      <c r="E10" t="inlineStr">
        <is>
          <t>Cold</t>
        </is>
      </c>
    </row>
    <row r="11">
      <c r="A11" t="inlineStr">
        <is>
          <t>(slot 9)</t>
        </is>
      </c>
      <c r="E11" t="inlineStr">
        <is>
          <t>Cold</t>
        </is>
      </c>
    </row>
    <row r="12">
      <c r="A12" t="inlineStr">
        <is>
          <t>(slot 10)</t>
        </is>
      </c>
      <c r="E12" t="inlineStr">
        <is>
          <t>Cold</t>
        </is>
      </c>
    </row>
    <row r="13">
      <c r="A13" t="inlineStr">
        <is>
          <t>(slot 11)</t>
        </is>
      </c>
      <c r="E13" t="inlineStr">
        <is>
          <t>Cold</t>
        </is>
      </c>
    </row>
    <row r="14">
      <c r="A14" t="inlineStr">
        <is>
          <t>(slot 12)</t>
        </is>
      </c>
      <c r="E14" t="inlineStr">
        <is>
          <t>Cold</t>
        </is>
      </c>
    </row>
    <row r="15">
      <c r="A15" t="inlineStr">
        <is>
          <t>(slot 13)</t>
        </is>
      </c>
      <c r="E15" t="inlineStr">
        <is>
          <t>Cold</t>
        </is>
      </c>
    </row>
    <row r="16">
      <c r="A16" t="inlineStr">
        <is>
          <t>(slot 14)</t>
        </is>
      </c>
      <c r="E16" t="inlineStr">
        <is>
          <t>Cold</t>
        </is>
      </c>
    </row>
    <row r="17">
      <c r="A17" t="inlineStr">
        <is>
          <t>(slot 15)</t>
        </is>
      </c>
      <c r="E17" t="inlineStr">
        <is>
          <t>Cold</t>
        </is>
      </c>
    </row>
    <row r="18">
      <c r="A18" t="inlineStr">
        <is>
          <t>(slot 16)</t>
        </is>
      </c>
      <c r="E18" t="inlineStr">
        <is>
          <t>Cold</t>
        </is>
      </c>
    </row>
    <row r="19">
      <c r="A19" t="inlineStr">
        <is>
          <t>(slot 17)</t>
        </is>
      </c>
      <c r="E19" t="inlineStr">
        <is>
          <t>Cold</t>
        </is>
      </c>
    </row>
    <row r="20">
      <c r="A20" t="inlineStr">
        <is>
          <t>(slot 18)</t>
        </is>
      </c>
      <c r="E20" t="inlineStr">
        <is>
          <t>Cold</t>
        </is>
      </c>
    </row>
    <row r="21">
      <c r="A21" t="inlineStr">
        <is>
          <t>(slot 19)</t>
        </is>
      </c>
      <c r="E21" t="inlineStr">
        <is>
          <t>Cold</t>
        </is>
      </c>
    </row>
    <row r="22">
      <c r="A22" t="inlineStr">
        <is>
          <t>(slot 20)</t>
        </is>
      </c>
      <c r="E22" t="inlineStr">
        <is>
          <t>Cold</t>
        </is>
      </c>
    </row>
  </sheetData>
  <mergeCells count="1">
    <mergeCell ref="A1:J1"/>
  </mergeCells>
  <conditionalFormatting sqref="E3:E50">
    <cfRule type="cellIs" priority="1" operator="equal" dxfId="6">
      <formula>"Cold"</formula>
    </cfRule>
    <cfRule type="cellIs" priority="2" operator="equal" dxfId="3">
      <formula>"DM sent"</formula>
    </cfRule>
    <cfRule type="cellIs" priority="3" operator="equal" dxfId="1">
      <formula>"Responded"</formula>
    </cfRule>
    <cfRule type="cellIs" priority="4" operator="equal" dxfId="0">
      <formula>"Posted"</formula>
    </cfRule>
    <cfRule type="cellIs" priority="5" operator="equal" dxfId="2">
      <formula>"Declined"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2" customWidth="1" min="3" max="3"/>
    <col width="26" customWidth="1" min="4" max="4"/>
    <col width="11" customWidth="1" min="5" max="5"/>
    <col width="7" customWidth="1" min="6" max="6"/>
    <col width="11" customWidth="1" min="7" max="7"/>
    <col width="11" customWidth="1" min="8" max="8"/>
    <col width="28" customWidth="1" min="9" max="9"/>
    <col width="24" customWidth="1" min="11" max="11"/>
    <col width="14" customWidth="1" min="12" max="12"/>
  </cols>
  <sheetData>
    <row r="1" ht="32" customHeight="1">
      <c r="A1" s="4" t="inlineStr">
        <is>
          <t>PICK PERFORMANCE — daily record (the receipts wall)</t>
        </is>
      </c>
    </row>
    <row r="2" ht="24" customHeight="1">
      <c r="A2" s="6" t="inlineStr">
        <is>
          <t>Date</t>
        </is>
      </c>
      <c r="B2" s="6" t="inlineStr">
        <is>
          <t>League</t>
        </is>
      </c>
      <c r="C2" s="6" t="inlineStr">
        <is>
          <t>Game</t>
        </is>
      </c>
      <c r="D2" s="6" t="inlineStr">
        <is>
          <t>Pick</t>
        </is>
      </c>
      <c r="E2" s="6" t="inlineStr">
        <is>
          <t>Probability</t>
        </is>
      </c>
      <c r="F2" s="6" t="inlineStr">
        <is>
          <t>Tier</t>
        </is>
      </c>
      <c r="G2" s="6" t="inlineStr">
        <is>
          <t>Result</t>
        </is>
      </c>
      <c r="H2" s="6" t="inlineStr">
        <is>
          <t>1u P&amp;L</t>
        </is>
      </c>
      <c r="I2" s="6" t="inlineStr">
        <is>
          <t>Notes</t>
        </is>
      </c>
      <c r="K2" s="11" t="inlineStr">
        <is>
          <t>Summary</t>
        </is>
      </c>
    </row>
    <row r="3">
      <c r="A3" s="7" t="n">
        <v>46154</v>
      </c>
      <c r="B3" t="inlineStr">
        <is>
          <t>NBA</t>
        </is>
      </c>
      <c r="C3" t="inlineStr">
        <is>
          <t>SAS vs MIN G5</t>
        </is>
      </c>
      <c r="D3" t="inlineStr">
        <is>
          <t>San Antonio Spurs</t>
        </is>
      </c>
      <c r="E3" s="9" t="n">
        <v>78.59999999999999</v>
      </c>
      <c r="F3" t="inlineStr">
        <is>
          <t>**</t>
        </is>
      </c>
      <c r="G3" t="inlineStr">
        <is>
          <t>WIN</t>
        </is>
      </c>
      <c r="H3" t="inlineStr">
        <is>
          <t>+0.91</t>
        </is>
      </c>
      <c r="I3" t="inlineStr">
        <is>
          <t>Series 3-2 SAS</t>
        </is>
      </c>
      <c r="K3" t="inlineStr">
        <is>
          <t>Total wins</t>
        </is>
      </c>
      <c r="L3">
        <f>COUNTIF(G:G,"WIN")</f>
        <v/>
      </c>
    </row>
    <row r="4">
      <c r="A4" s="7" t="n">
        <v>46154</v>
      </c>
      <c r="B4" t="inlineStr">
        <is>
          <t>NHL</t>
        </is>
      </c>
      <c r="C4" t="inlineStr">
        <is>
          <t>VGK @ ANA G5</t>
        </is>
      </c>
      <c r="D4" t="inlineStr">
        <is>
          <t>Vegas Golden Knights</t>
        </is>
      </c>
      <c r="E4" s="9" t="n">
        <v>57.7</v>
      </c>
      <c r="F4" t="inlineStr">
        <is>
          <t>*</t>
        </is>
      </c>
      <c r="G4" t="inlineStr">
        <is>
          <t>WIN</t>
        </is>
      </c>
      <c r="H4" t="inlineStr">
        <is>
          <t>+0.91</t>
        </is>
      </c>
      <c r="I4" t="inlineStr">
        <is>
          <t>Tied series winner</t>
        </is>
      </c>
      <c r="K4" t="inlineStr">
        <is>
          <t>Total losses</t>
        </is>
      </c>
      <c r="L4">
        <f>COUNTIF(G:G,"LOSS")</f>
        <v/>
      </c>
    </row>
    <row r="5">
      <c r="A5" s="7" t="n">
        <v>46154</v>
      </c>
      <c r="B5" t="inlineStr">
        <is>
          <t>NHL</t>
        </is>
      </c>
      <c r="C5" t="inlineStr">
        <is>
          <t>MTL vs BUF G4</t>
        </is>
      </c>
      <c r="D5" t="inlineStr">
        <is>
          <t>Montreal Canadiens</t>
        </is>
      </c>
      <c r="E5" s="9" t="n">
        <v>56.1</v>
      </c>
      <c r="F5" t="inlineStr">
        <is>
          <t>*</t>
        </is>
      </c>
      <c r="G5" t="inlineStr">
        <is>
          <t>LOSS</t>
        </is>
      </c>
      <c r="H5" t="inlineStr">
        <is>
          <t>-1.00</t>
        </is>
      </c>
      <c r="I5" t="inlineStr">
        <is>
          <t>Missed G4</t>
        </is>
      </c>
      <c r="K5" t="inlineStr">
        <is>
          <t>Win %</t>
        </is>
      </c>
      <c r="L5" s="9">
        <f>IFERROR(L3/(L3+L4),"")</f>
        <v/>
      </c>
    </row>
    <row r="6">
      <c r="A6" s="7" t="n">
        <v>46155</v>
      </c>
      <c r="B6" t="inlineStr">
        <is>
          <t>EPL</t>
        </is>
      </c>
      <c r="C6" t="inlineStr">
        <is>
          <t>MCI vs CRY</t>
        </is>
      </c>
      <c r="D6" t="inlineStr">
        <is>
          <t>Manchester City</t>
        </is>
      </c>
      <c r="E6" s="9" t="n">
        <v>81.2</v>
      </c>
      <c r="F6" t="inlineStr">
        <is>
          <t>***</t>
        </is>
      </c>
      <c r="G6" t="inlineStr">
        <is>
          <t>Pending</t>
        </is>
      </c>
      <c r="H6" t="inlineStr"/>
      <c r="I6" t="inlineStr">
        <is>
          <t>Lock of the night</t>
        </is>
      </c>
      <c r="K6" t="inlineStr">
        <is>
          <t>Lock (⭐⭐⭐) record</t>
        </is>
      </c>
      <c r="L6">
        <f>COUNTIFS(F:F,"***",G:G,"WIN")&amp;"-"&amp;COUNTIFS(F:F,"***",G:G,"LOSS")</f>
        <v/>
      </c>
    </row>
    <row r="7">
      <c r="A7" s="7" t="n">
        <v>46155</v>
      </c>
      <c r="B7" t="inlineStr">
        <is>
          <t>NHL</t>
        </is>
      </c>
      <c r="C7" t="inlineStr">
        <is>
          <t>COL @ MIN G5</t>
        </is>
      </c>
      <c r="D7" t="inlineStr">
        <is>
          <t>Colorado Avalanche</t>
        </is>
      </c>
      <c r="E7" s="9" t="n">
        <v>63.6</v>
      </c>
      <c r="F7" t="inlineStr">
        <is>
          <t>**</t>
        </is>
      </c>
      <c r="G7" t="inlineStr">
        <is>
          <t>Pending</t>
        </is>
      </c>
      <c r="H7" t="inlineStr"/>
      <c r="I7" t="inlineStr">
        <is>
          <t>Series closeout</t>
        </is>
      </c>
    </row>
    <row r="8">
      <c r="A8" s="7" t="n">
        <v>46155</v>
      </c>
      <c r="B8" t="inlineStr">
        <is>
          <t>NBA</t>
        </is>
      </c>
      <c r="C8" t="inlineStr">
        <is>
          <t>DET vs CLE G5</t>
        </is>
      </c>
      <c r="D8" t="inlineStr">
        <is>
          <t>Detroit Pistons</t>
        </is>
      </c>
      <c r="E8" s="9" t="n">
        <v>60.6</v>
      </c>
      <c r="F8" t="inlineStr">
        <is>
          <t>*</t>
        </is>
      </c>
      <c r="G8" t="inlineStr">
        <is>
          <t>Pending</t>
        </is>
      </c>
      <c r="H8" t="inlineStr"/>
      <c r="I8" t="inlineStr">
        <is>
          <t>Tied series G5</t>
        </is>
      </c>
    </row>
    <row r="9">
      <c r="A9" s="7" t="n">
        <v>46155</v>
      </c>
      <c r="B9" t="inlineStr">
        <is>
          <t>NHL</t>
        </is>
      </c>
      <c r="C9" t="inlineStr">
        <is>
          <t>MTL vs BUF G4</t>
        </is>
      </c>
      <c r="D9" t="inlineStr">
        <is>
          <t>Montreal Canadiens</t>
        </is>
      </c>
      <c r="E9" s="9" t="n">
        <v>56.1</v>
      </c>
      <c r="F9" t="inlineStr">
        <is>
          <t>*</t>
        </is>
      </c>
      <c r="G9" t="inlineStr">
        <is>
          <t>Pending</t>
        </is>
      </c>
      <c r="H9" t="inlineStr"/>
      <c r="I9" t="inlineStr">
        <is>
          <t>Carryover</t>
        </is>
      </c>
    </row>
    <row r="10">
      <c r="A10" s="7" t="n">
        <v>46155</v>
      </c>
      <c r="B10" t="inlineStr">
        <is>
          <t>NHL</t>
        </is>
      </c>
      <c r="C10" t="inlineStr">
        <is>
          <t>VGK @ ANA G5</t>
        </is>
      </c>
      <c r="D10" t="inlineStr">
        <is>
          <t>Vegas Golden Knights</t>
        </is>
      </c>
      <c r="E10" s="9" t="n">
        <v>57.7</v>
      </c>
      <c r="F10" t="inlineStr">
        <is>
          <t>*</t>
        </is>
      </c>
      <c r="G10" t="inlineStr">
        <is>
          <t>Pending</t>
        </is>
      </c>
      <c r="H10" t="inlineStr"/>
      <c r="I10" t="inlineStr">
        <is>
          <t>Carryover</t>
        </is>
      </c>
    </row>
  </sheetData>
  <mergeCells count="1">
    <mergeCell ref="A1:I1"/>
  </mergeCells>
  <conditionalFormatting sqref="G3:G500">
    <cfRule type="cellIs" priority="1" operator="equal" dxfId="0">
      <formula>"WIN"</formula>
    </cfRule>
    <cfRule type="cellIs" priority="2" operator="equal" dxfId="2">
      <formula>"LOSS"</formula>
    </cfRule>
    <cfRule type="cellIs" priority="3" operator="equal" dxfId="6">
      <formula>"Pending"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50" customWidth="1" min="2" max="2"/>
    <col width="14" customWidth="1" min="3" max="3"/>
    <col width="18" customWidth="1" min="4" max="4"/>
    <col width="18" customWidth="1" min="5" max="5"/>
    <col width="60" customWidth="1" min="6" max="6"/>
  </cols>
  <sheetData>
    <row r="1" ht="32" customHeight="1">
      <c r="A1" s="4" t="inlineStr">
        <is>
          <t>MARKETING BUDGET SCENARIOS — $1K (now) / $25K / $100K</t>
        </is>
      </c>
    </row>
    <row r="2" ht="36" customHeight="1">
      <c r="A2" s="12" t="inlineStr">
        <is>
          <t>This tab models what the same 18-day playbook would deliver at 25× and 100× the current $1,000 budget. All numbers are realistic 2026 market rates. Use this when pitching seed/series-A on what marketing dollars buy.</t>
        </is>
      </c>
    </row>
    <row r="4" ht="24" customHeight="1">
      <c r="A4" s="6" t="inlineStr">
        <is>
          <t>Line item</t>
        </is>
      </c>
      <c r="B4" s="6" t="inlineStr">
        <is>
          <t>What it gets you</t>
        </is>
      </c>
      <c r="C4" s="6" t="inlineStr">
        <is>
          <t>$1K (current)</t>
        </is>
      </c>
      <c r="D4" s="6" t="inlineStr">
        <is>
          <t>$25K (early traction)</t>
        </is>
      </c>
      <c r="E4" s="6" t="inlineStr">
        <is>
          <t>$100K (post-seed)</t>
        </is>
      </c>
      <c r="F4" s="6" t="inlineStr">
        <is>
          <t>Notes</t>
        </is>
      </c>
    </row>
    <row r="5" ht="30" customHeight="1">
      <c r="A5" s="13" t="inlineStr">
        <is>
          <t>[Paid Acquisition]</t>
        </is>
      </c>
      <c r="B5" s="14" t="inlineStr"/>
      <c r="C5" s="15" t="inlineStr"/>
      <c r="D5" s="15" t="inlineStr"/>
      <c r="E5" s="15" t="inlineStr"/>
      <c r="F5" s="14" t="inlineStr"/>
    </row>
    <row r="6" ht="30" customHeight="1">
      <c r="A6" s="16" t="inlineStr">
        <is>
          <t>Meta Ads — cold</t>
        </is>
      </c>
      <c r="B6" s="10" t="inlineStr">
        <is>
          <t>Lookalikes + interest stacks</t>
        </is>
      </c>
      <c r="C6" s="17" t="n">
        <v>400</v>
      </c>
      <c r="D6" s="17" t="n">
        <v>6000</v>
      </c>
      <c r="E6" s="17" t="n">
        <v>15000</v>
      </c>
      <c r="F6" s="10" t="inlineStr">
        <is>
          <t>$1.50 CPL target. $400 = 250 signups; $6K = 4K signups; $15K = 10K signups.</t>
        </is>
      </c>
    </row>
    <row r="7" ht="30" customHeight="1">
      <c r="A7" s="16" t="inlineStr">
        <is>
          <t>Meta Ads — retargeting</t>
        </is>
      </c>
      <c r="B7" s="10" t="inlineStr">
        <is>
          <t>Pixel-visited but didn't sign up</t>
        </is>
      </c>
      <c r="C7" s="17" t="n">
        <v>150</v>
      </c>
      <c r="D7" s="17" t="n">
        <v>2500</v>
      </c>
      <c r="E7" s="17" t="n">
        <v>5000</v>
      </c>
      <c r="F7" s="10" t="inlineStr">
        <is>
          <t>Always higher CTR than cold. 3-7x lower CPL. Burns hot.</t>
        </is>
      </c>
    </row>
    <row r="8" ht="30" customHeight="1">
      <c r="A8" s="16" t="inlineStr">
        <is>
          <t>TikTok Spark Ads</t>
        </is>
      </c>
      <c r="B8" s="10" t="inlineStr">
        <is>
          <t>Boost organic Reels that pop</t>
        </is>
      </c>
      <c r="C8" s="17" t="n">
        <v>150</v>
      </c>
      <c r="D8" s="17" t="n">
        <v>3000</v>
      </c>
      <c r="E8" s="17" t="n">
        <v>10000</v>
      </c>
      <c r="F8" s="10" t="inlineStr">
        <is>
          <t>Only deploy on Reels that already crossed 50K views organically. Otherwise it's lighting money on fire.</t>
        </is>
      </c>
    </row>
    <row r="9" ht="30" customHeight="1">
      <c r="A9" s="18" t="inlineStr">
        <is>
          <t xml:space="preserve">  → Subtotal: paid digital</t>
        </is>
      </c>
      <c r="B9" s="19" t="inlineStr"/>
      <c r="C9" s="20">
        <f>SUM(C6:C8)</f>
        <v/>
      </c>
      <c r="D9" s="20">
        <f>SUM(D6:D8)</f>
        <v/>
      </c>
      <c r="E9" s="20">
        <f>SUM(E6:E8)</f>
        <v/>
      </c>
      <c r="F9" s="19" t="inlineStr"/>
    </row>
    <row r="10" ht="30" customHeight="1">
      <c r="A10" s="13" t="inlineStr">
        <is>
          <t>[Influencer]</t>
        </is>
      </c>
      <c r="B10" s="14" t="inlineStr"/>
      <c r="C10" s="15" t="inlineStr"/>
      <c r="D10" s="15" t="inlineStr"/>
      <c r="E10" s="15" t="inlineStr"/>
      <c r="F10" s="14" t="inlineStr"/>
    </row>
    <row r="11" ht="30" customHeight="1">
      <c r="A11" s="16" t="inlineStr">
        <is>
          <t>Macro creator (1, 1M+ followers)</t>
        </is>
      </c>
      <c r="B11" s="10" t="inlineStr">
        <is>
          <t>Sports/betting niche, 1 sponsored post or video w/ exclusive code</t>
        </is>
      </c>
      <c r="C11" s="17" t="n">
        <v>0</v>
      </c>
      <c r="D11" s="17" t="n">
        <v>0</v>
      </c>
      <c r="E11" s="17" t="n">
        <v>20000</v>
      </c>
      <c r="F11" s="10" t="inlineStr">
        <is>
          <t>$15-25K market rate for a single post from a 1M+ sports creator. Single biggest line item at $100K — but the lift is exponential.</t>
        </is>
      </c>
    </row>
    <row r="12" ht="30" customHeight="1">
      <c r="A12" s="16" t="inlineStr">
        <is>
          <t>Mid-tier creators (4-6, 200-500K)</t>
        </is>
      </c>
      <c r="B12" s="10" t="inlineStr">
        <is>
          <t>Sponsored IG/TikTok posts, mix paid + product-trade</t>
        </is>
      </c>
      <c r="C12" s="17" t="n">
        <v>0</v>
      </c>
      <c r="D12" s="17" t="n">
        <v>5000</v>
      </c>
      <c r="E12" s="17" t="n">
        <v>15000</v>
      </c>
      <c r="F12" s="10" t="inlineStr">
        <is>
          <t>$2-3K avg per post for 200-500K followers. Best CAC/LTV mix.</t>
        </is>
      </c>
    </row>
    <row r="13" ht="30" customHeight="1">
      <c r="A13" s="16" t="inlineStr">
        <is>
          <t>Micro creators (15-20, 50-150K)</t>
        </is>
      </c>
      <c r="B13" s="10" t="inlineStr">
        <is>
          <t>Paid + product-trade mix; ref-code attribution</t>
        </is>
      </c>
      <c r="C13" s="17" t="n">
        <v>0</v>
      </c>
      <c r="D13" s="17" t="n">
        <v>2000</v>
      </c>
      <c r="E13" s="17" t="n">
        <v>10000</v>
      </c>
      <c r="F13" s="10" t="inlineStr">
        <is>
          <t>$500-1K per post. Highest engagement rate; 20 small bets beat 1 big one.</t>
        </is>
      </c>
    </row>
    <row r="14" ht="30" customHeight="1">
      <c r="A14" s="16" t="inlineStr">
        <is>
          <t>Influencer trades (free Pro)</t>
        </is>
      </c>
      <c r="B14" s="10" t="inlineStr">
        <is>
          <t>$0 cost — Lifetime Pro for honest review (10-20 micros)</t>
        </is>
      </c>
      <c r="C14" s="17" t="n">
        <v>0</v>
      </c>
      <c r="D14" s="17" t="n">
        <v>0</v>
      </c>
      <c r="E14" s="17" t="n">
        <v>0</v>
      </c>
      <c r="F14" s="10" t="inlineStr">
        <is>
          <t>Always-on. $0 line item but real value. 20-creator DM list already in tab 6.</t>
        </is>
      </c>
    </row>
    <row r="15" ht="30" customHeight="1">
      <c r="A15" s="18" t="inlineStr">
        <is>
          <t xml:space="preserve">  → Subtotal: influencer</t>
        </is>
      </c>
      <c r="B15" s="19" t="inlineStr"/>
      <c r="C15" s="20">
        <f>SUM(C11:C14)</f>
        <v/>
      </c>
      <c r="D15" s="20">
        <f>SUM(D11:D14)</f>
        <v/>
      </c>
      <c r="E15" s="20">
        <f>SUM(E11:E14)</f>
        <v/>
      </c>
      <c r="F15" s="19" t="inlineStr"/>
    </row>
    <row r="16" ht="30" customHeight="1">
      <c r="A16" s="13" t="inlineStr">
        <is>
          <t>[Content Production]</t>
        </is>
      </c>
      <c r="B16" s="14" t="inlineStr"/>
      <c r="C16" s="15" t="inlineStr"/>
      <c r="D16" s="15" t="inlineStr"/>
      <c r="E16" s="15" t="inlineStr"/>
      <c r="F16" s="14" t="inlineStr"/>
    </row>
    <row r="17" ht="30" customHeight="1">
      <c r="A17" s="16" t="inlineStr">
        <is>
          <t>Live 'man on the street' TikTok shoots</t>
        </is>
      </c>
      <c r="B17" s="10" t="inlineStr">
        <is>
          <t>Multi-city sports-fan reactions to AI picks</t>
        </is>
      </c>
      <c r="C17" s="17" t="n">
        <v>0</v>
      </c>
      <c r="D17" s="17" t="n">
        <v>4000</v>
      </c>
      <c r="E17" s="17" t="n">
        <v>18000</v>
      </c>
      <c r="F17" s="10" t="inlineStr">
        <is>
          <t>Pro creator + videographer + 4-8 city shoots ($1.5-2.5K each) + edits + music licensing. Closest thing to 'guaranteed viral' for sports.</t>
        </is>
      </c>
    </row>
    <row r="18" ht="30" customHeight="1">
      <c r="A18" s="16" t="inlineStr">
        <is>
          <t>Branded creative (Canva Pro Team, Pond5, motion design)</t>
        </is>
      </c>
      <c r="B18" s="10" t="inlineStr">
        <is>
          <t>Evergreen content library</t>
        </is>
      </c>
      <c r="C18" s="17" t="n">
        <v>50</v>
      </c>
      <c r="D18" s="17" t="n">
        <v>1000</v>
      </c>
      <c r="E18" s="17" t="n">
        <v>3000</v>
      </c>
      <c r="F18" s="10" t="inlineStr">
        <is>
          <t>$50 currently covers Canva Pro + Pond5 single licenses. $3K = pro motion designer for 4-6 hero animations.</t>
        </is>
      </c>
    </row>
    <row r="19" ht="30" customHeight="1">
      <c r="A19" s="16" t="inlineStr">
        <is>
          <t>Studio/voiceover for hero ad</t>
        </is>
      </c>
      <c r="B19" s="10" t="inlineStr">
        <is>
          <t>Single high-production-value hero ad</t>
        </is>
      </c>
      <c r="C19" s="17" t="n">
        <v>0</v>
      </c>
      <c r="D19" s="17" t="n">
        <v>0</v>
      </c>
      <c r="E19" s="17" t="n">
        <v>5000</v>
      </c>
      <c r="F19" s="10" t="inlineStr">
        <is>
          <t>Skip at $1K and $25K. At $100K it's worth it for the YouTube pre-roll + paid social hero asset.</t>
        </is>
      </c>
    </row>
    <row r="20" ht="30" customHeight="1">
      <c r="A20" s="18" t="inlineStr">
        <is>
          <t xml:space="preserve">  → Subtotal: production</t>
        </is>
      </c>
      <c r="B20" s="19" t="inlineStr"/>
      <c r="C20" s="20">
        <f>SUM(C17:C19)</f>
        <v/>
      </c>
      <c r="D20" s="20">
        <f>SUM(D17:D19)</f>
        <v/>
      </c>
      <c r="E20" s="20">
        <f>SUM(E17:E19)</f>
        <v/>
      </c>
      <c r="F20" s="19" t="inlineStr"/>
    </row>
    <row r="21" ht="30" customHeight="1">
      <c r="A21" s="13" t="inlineStr">
        <is>
          <t>[Sweeps &amp; Viral Mechanics]</t>
        </is>
      </c>
      <c r="B21" s="14" t="inlineStr"/>
      <c r="C21" s="15" t="inlineStr"/>
      <c r="D21" s="15" t="inlineStr"/>
      <c r="E21" s="15" t="inlineStr"/>
      <c r="F21" s="14" t="inlineStr"/>
    </row>
    <row r="22" ht="30" customHeight="1">
      <c r="A22" s="16" t="inlineStr">
        <is>
          <t>Sweepstakes prize budget</t>
        </is>
      </c>
      <c r="B22" s="10" t="inlineStr">
        <is>
          <t>Headline prize value</t>
        </is>
      </c>
      <c r="C22" s="17" t="n">
        <v>500</v>
      </c>
      <c r="D22" s="17" t="n">
        <v>5000</v>
      </c>
      <c r="E22" s="17" t="n">
        <v>25000</v>
      </c>
      <c r="F22" s="10" t="inlineStr">
        <is>
          <t>Currently: 2 WC tickets ($500). $25K scenario: upgrade to $5K cash. $100K scenario: $25K cash or 5 winners × $5K each — drives 10x more entries.</t>
        </is>
      </c>
    </row>
    <row r="23" ht="30" customHeight="1">
      <c r="A23" s="16" t="inlineStr">
        <is>
          <t>Gleam Hobby/Pro plan</t>
        </is>
      </c>
      <c r="B23" s="10" t="inlineStr">
        <is>
          <t>Unlocks Feature Media, Viral Share, Repeat Action</t>
        </is>
      </c>
      <c r="C23" s="17" t="n">
        <v>0</v>
      </c>
      <c r="D23" s="17" t="n">
        <v>39</v>
      </c>
      <c r="E23" s="17" t="n">
        <v>200</v>
      </c>
      <c r="F23" s="10" t="inlineStr">
        <is>
          <t>$39/mo Hobby unlocks Feature Media + Repeat Action. $200/mo Business unlocks Custom CSS + advanced anti-fraud. Currently blocked us tonight.</t>
        </is>
      </c>
    </row>
    <row r="24" ht="30" customHeight="1">
      <c r="A24" s="16" t="inlineStr">
        <is>
          <t>KingSumo / Woorise paid tier</t>
        </is>
      </c>
      <c r="B24" s="10" t="inlineStr">
        <is>
          <t>Higher entry caps + advanced anti-bot</t>
        </is>
      </c>
      <c r="C24" s="17" t="n">
        <v>0</v>
      </c>
      <c r="D24" s="17" t="n">
        <v>0</v>
      </c>
      <c r="E24" s="17" t="n">
        <v>500</v>
      </c>
      <c r="F24" s="10" t="inlineStr">
        <is>
          <t>$500 unlocks 10K+ entries cap, custom branding, removes 'Powered by' footer. Worth at scale.</t>
        </is>
      </c>
    </row>
    <row r="25" ht="30" customHeight="1">
      <c r="A25" s="16" t="inlineStr">
        <is>
          <t>SparkLoop newsletter cross-promo</t>
        </is>
      </c>
      <c r="B25" s="10" t="inlineStr">
        <is>
          <t>$1-2 / signup via Morning Brew, The Hustle, etc.</t>
        </is>
      </c>
      <c r="C25" s="17" t="n">
        <v>0</v>
      </c>
      <c r="D25" s="17" t="n">
        <v>2000</v>
      </c>
      <c r="E25" s="17" t="n">
        <v>8000</v>
      </c>
      <c r="F25" s="10" t="inlineStr">
        <is>
          <t>100-200 signups at $200 budget. Scale linearly. Higher LTV than Meta cold.</t>
        </is>
      </c>
    </row>
    <row r="26" ht="30" customHeight="1">
      <c r="A26" s="16" t="inlineStr">
        <is>
          <t>Daily Drop on Twitter (7×$25 prizes)</t>
        </is>
      </c>
      <c r="B26" s="10" t="inlineStr">
        <is>
          <t>Daily micro-sweeps the week before launch</t>
        </is>
      </c>
      <c r="C26" s="17" t="n">
        <v>0</v>
      </c>
      <c r="D26" s="17" t="n">
        <v>175</v>
      </c>
      <c r="E26" s="17" t="n">
        <v>700</v>
      </c>
      <c r="F26" s="10" t="inlineStr">
        <is>
          <t>$25/day × 7 days = $175 currently. At $100K bump to $100/day × 7 = $700.</t>
        </is>
      </c>
    </row>
    <row r="27" ht="30" customHeight="1">
      <c r="A27" s="18" t="inlineStr">
        <is>
          <t xml:space="preserve">  → Subtotal: sweeps &amp; viral</t>
        </is>
      </c>
      <c r="B27" s="19" t="inlineStr"/>
      <c r="C27" s="20">
        <f>SUM(C22:C26)</f>
        <v/>
      </c>
      <c r="D27" s="20">
        <f>SUM(D22:D26)</f>
        <v/>
      </c>
      <c r="E27" s="20">
        <f>SUM(E22:E26)</f>
        <v/>
      </c>
      <c r="F27" s="19" t="inlineStr"/>
    </row>
    <row r="28" ht="30" customHeight="1">
      <c r="A28" s="13" t="inlineStr">
        <is>
          <t>[PR &amp; Earned Media]</t>
        </is>
      </c>
      <c r="B28" s="14" t="inlineStr"/>
      <c r="C28" s="15" t="inlineStr"/>
      <c r="D28" s="15" t="inlineStr"/>
      <c r="E28" s="15" t="inlineStr"/>
      <c r="F28" s="14" t="inlineStr"/>
    </row>
    <row r="29" ht="30" customHeight="1">
      <c r="A29" s="16" t="inlineStr">
        <is>
          <t>PR firm retainer (1 month, mid-tier)</t>
        </is>
      </c>
      <c r="B29" s="10" t="inlineStr">
        <is>
          <t>Targeted outreach to The Hustle, Morning Brew, sports media</t>
        </is>
      </c>
      <c r="C29" s="17" t="n">
        <v>0</v>
      </c>
      <c r="D29" s="17" t="n">
        <v>0</v>
      </c>
      <c r="E29" s="17" t="n">
        <v>3000</v>
      </c>
      <c r="F29" s="10" t="inlineStr">
        <is>
          <t>1 month with a small/mid-tier firm. Worth it if even one Hustle/MB pickup lands.</t>
        </is>
      </c>
    </row>
    <row r="30" ht="30" customHeight="1">
      <c r="A30" s="16" t="inlineStr">
        <is>
          <t>Press kit + media training</t>
        </is>
      </c>
      <c r="B30" s="10" t="inlineStr">
        <is>
          <t>Photography, founder bio, talking points</t>
        </is>
      </c>
      <c r="C30" s="17" t="n">
        <v>0</v>
      </c>
      <c r="D30" s="17" t="n">
        <v>500</v>
      </c>
      <c r="E30" s="17" t="n">
        <v>1500</v>
      </c>
      <c r="F30" s="10" t="inlineStr">
        <is>
          <t>Professional shots + crisp positioning for press intake.</t>
        </is>
      </c>
    </row>
    <row r="31" ht="30" customHeight="1">
      <c r="A31" s="16" t="inlineStr">
        <is>
          <t>ProductHunt coordinated launch</t>
        </is>
      </c>
      <c r="B31" s="10" t="inlineStr">
        <is>
          <t>Hunter, day-of comms, video, asset polish</t>
        </is>
      </c>
      <c r="C31" s="17" t="n">
        <v>0</v>
      </c>
      <c r="D31" s="17" t="n">
        <v>0</v>
      </c>
      <c r="E31" s="17" t="n">
        <v>1500</v>
      </c>
      <c r="F31" s="10" t="inlineStr">
        <is>
          <t>Free at $1K (DIY). $1.5K covers a paid hunter + animated demo for PH listing.</t>
        </is>
      </c>
    </row>
    <row r="32" ht="30" customHeight="1">
      <c r="A32" s="16" t="inlineStr">
        <is>
          <t>Hacker News Show HN</t>
        </is>
      </c>
      <c r="B32" s="10" t="inlineStr">
        <is>
          <t>Free — just need polish + timing</t>
        </is>
      </c>
      <c r="C32" s="17" t="n">
        <v>0</v>
      </c>
      <c r="D32" s="17" t="n">
        <v>0</v>
      </c>
      <c r="E32" s="17" t="n">
        <v>0</v>
      </c>
      <c r="F32" s="10" t="inlineStr">
        <is>
          <t>$0 line. Timing-sensitive (Tuesday 8am ET). Front page = 50K-200K visits.</t>
        </is>
      </c>
    </row>
    <row r="33" ht="30" customHeight="1">
      <c r="A33" s="18" t="inlineStr">
        <is>
          <t xml:space="preserve">  → Subtotal: PR &amp; earned</t>
        </is>
      </c>
      <c r="B33" s="19" t="inlineStr"/>
      <c r="C33" s="20">
        <f>SUM(C29:C32)</f>
        <v/>
      </c>
      <c r="D33" s="20">
        <f>SUM(D29:D32)</f>
        <v/>
      </c>
      <c r="E33" s="20">
        <f>SUM(E29:E32)</f>
        <v/>
      </c>
      <c r="F33" s="19" t="inlineStr"/>
    </row>
    <row r="34" ht="30" customHeight="1">
      <c r="A34" s="13" t="inlineStr">
        <is>
          <t>[Tooling &amp; Infra]</t>
        </is>
      </c>
      <c r="B34" s="14" t="inlineStr"/>
      <c r="C34" s="15" t="inlineStr"/>
      <c r="D34" s="15" t="inlineStr"/>
      <c r="E34" s="15" t="inlineStr"/>
      <c r="F34" s="14" t="inlineStr"/>
    </row>
    <row r="35" ht="30" customHeight="1">
      <c r="A35" s="16" t="inlineStr">
        <is>
          <t>Resend / Supabase / Vercel / etc.</t>
        </is>
      </c>
      <c r="B35" s="10" t="inlineStr">
        <is>
          <t>Email + DB + hosting</t>
        </is>
      </c>
      <c r="C35" s="17" t="n">
        <v>0</v>
      </c>
      <c r="D35" s="17" t="n">
        <v>100</v>
      </c>
      <c r="E35" s="17" t="n">
        <v>500</v>
      </c>
      <c r="F35" s="10" t="inlineStr">
        <is>
          <t>Free tier suffices at $1K-25K. $500/mo plans needed at scale (Resend Pro, Supabase Pro, Vercel Pro).</t>
        </is>
      </c>
    </row>
    <row r="36" ht="30" customHeight="1">
      <c r="A36" s="16" t="inlineStr">
        <is>
          <t>Analytics / attribution stack</t>
        </is>
      </c>
      <c r="B36" s="10" t="inlineStr">
        <is>
          <t>PostHog, Plausible, GA4 setup</t>
        </is>
      </c>
      <c r="C36" s="17" t="n">
        <v>0</v>
      </c>
      <c r="D36" s="17" t="n">
        <v>100</v>
      </c>
      <c r="E36" s="17" t="n">
        <v>1000</v>
      </c>
      <c r="F36" s="10" t="inlineStr">
        <is>
          <t>DIY at $1K (free tiers). $1K covers a 1-time analytics consultant to build proper funnels.</t>
        </is>
      </c>
    </row>
    <row r="37" ht="30" customHeight="1">
      <c r="A37" s="16" t="inlineStr">
        <is>
          <t>Founder time (Noa) — opportunity cost</t>
        </is>
      </c>
      <c r="B37" s="10" t="inlineStr">
        <is>
          <t>Not a line item, but real</t>
        </is>
      </c>
      <c r="C37" s="17" t="n">
        <v>0</v>
      </c>
      <c r="D37" s="17" t="n">
        <v>0</v>
      </c>
      <c r="E37" s="17" t="n">
        <v>0</v>
      </c>
      <c r="F37" s="10" t="inlineStr">
        <is>
          <t>Excluded from this budget. Worth noting.</t>
        </is>
      </c>
    </row>
    <row r="38" ht="30" customHeight="1">
      <c r="A38" s="18" t="inlineStr">
        <is>
          <t xml:space="preserve">  → Subtotal: tooling</t>
        </is>
      </c>
      <c r="B38" s="19" t="inlineStr"/>
      <c r="C38" s="20">
        <f>SUM(C35:C37)</f>
        <v/>
      </c>
      <c r="D38" s="20">
        <f>SUM(D35:D37)</f>
        <v/>
      </c>
      <c r="E38" s="20">
        <f>SUM(E35:E37)</f>
        <v/>
      </c>
      <c r="F38" s="19" t="inlineStr"/>
    </row>
    <row r="39" ht="30" customHeight="1">
      <c r="A39" s="13" t="inlineStr">
        <is>
          <t>[Contingency]</t>
        </is>
      </c>
      <c r="B39" s="14" t="inlineStr"/>
      <c r="C39" s="15" t="inlineStr"/>
      <c r="D39" s="15" t="inlineStr"/>
      <c r="E39" s="15" t="inlineStr"/>
      <c r="F39" s="14" t="inlineStr"/>
    </row>
    <row r="40" ht="30" customHeight="1">
      <c r="A40" s="16" t="inlineStr">
        <is>
          <t>Reallocation reserve</t>
        </is>
      </c>
      <c r="B40" s="10" t="inlineStr">
        <is>
          <t>Day 10 reallocate to top-performing channel</t>
        </is>
      </c>
      <c r="C40" s="17" t="n">
        <v>250</v>
      </c>
      <c r="D40" s="17" t="n">
        <v>1500</v>
      </c>
      <c r="E40" s="17" t="n">
        <v>5000</v>
      </c>
      <c r="F40" s="10" t="inlineStr">
        <is>
          <t>Critical. Whichever channel is winning by Day 10, dump 30% of the budget into it.</t>
        </is>
      </c>
    </row>
    <row r="41" ht="30" customHeight="1">
      <c r="A41" s="16" t="inlineStr"/>
      <c r="B41" s="10" t="inlineStr"/>
      <c r="C41" s="21" t="inlineStr"/>
      <c r="D41" s="21" t="inlineStr"/>
      <c r="E41" s="21" t="inlineStr"/>
      <c r="F41" s="10" t="inlineStr"/>
    </row>
    <row r="42" ht="30" customHeight="1">
      <c r="A42" s="22" t="inlineStr">
        <is>
          <t>TOTAL</t>
        </is>
      </c>
      <c r="B42" s="23" t="inlineStr"/>
      <c r="C42" s="24">
        <f>C6+C7+C8+C11+C12+C13+C14+C17+C18+C19+C22+C23+C24+C25+C26+C29+C30+C31+C32+C35+C36+C37+C41</f>
        <v/>
      </c>
      <c r="D42" s="24">
        <f>D6+D7+D8+D11+D12+D13+D14+D17+D18+D19+D22+D23+D24+D25+D26+D29+D30+D31+D32+D35+D36+D37+D41</f>
        <v/>
      </c>
      <c r="E42" s="24">
        <f>E6+E7+E8+E11+E12+E13+E14+E17+E18+E19+E22+E23+E24+E25+E26+E29+E30+E31+E32+E35+E36+E37+E41</f>
        <v/>
      </c>
      <c r="F42" s="23" t="inlineStr">
        <is>
          <t>Excluding $0 in-kind items + founder time</t>
        </is>
      </c>
    </row>
    <row r="45" ht="32" customHeight="1">
      <c r="A45" s="4" t="inlineStr">
        <is>
          <t>EXPECTED OUTCOMES (18-day pre-launch sprint)</t>
        </is>
      </c>
    </row>
    <row r="46" ht="24" customHeight="1">
      <c r="A46" s="6" t="inlineStr">
        <is>
          <t>Metric</t>
        </is>
      </c>
      <c r="B46" s="6" t="inlineStr">
        <is>
          <t>Target</t>
        </is>
      </c>
      <c r="C46" s="6" t="inlineStr">
        <is>
          <t>$1K plan</t>
        </is>
      </c>
      <c r="D46" s="6" t="inlineStr">
        <is>
          <t>$25K plan</t>
        </is>
      </c>
      <c r="E46" s="6" t="inlineStr">
        <is>
          <t>$100K plan</t>
        </is>
      </c>
      <c r="F46" s="6" t="inlineStr">
        <is>
          <t>Notes</t>
        </is>
      </c>
    </row>
    <row r="47" ht="36" customHeight="1">
      <c r="A47" s="25" t="inlineStr">
        <is>
          <t>Waitlist signups (May 31)</t>
        </is>
      </c>
      <c r="B47" s="26" t="inlineStr">
        <is>
          <t>1,500</t>
        </is>
      </c>
      <c r="C47" s="26" t="inlineStr">
        <is>
          <t>1,500-2,500</t>
        </is>
      </c>
      <c r="D47" s="26" t="inlineStr">
        <is>
          <t>8,000-15,000</t>
        </is>
      </c>
      <c r="E47" s="26" t="inlineStr">
        <is>
          <t>25,000-50,000</t>
        </is>
      </c>
      <c r="F47" s="26" t="inlineStr">
        <is>
          <t>Linear scaling on Meta + influencer; sub-linear on organic (organic has reach ceiling).</t>
        </is>
      </c>
    </row>
    <row r="48" ht="36" customHeight="1">
      <c r="A48" s="25" t="inlineStr">
        <is>
          <t>Cost per waitlist signup (blended)</t>
        </is>
      </c>
      <c r="B48" s="26" t="inlineStr">
        <is>
          <t>&lt;$1.50</t>
        </is>
      </c>
      <c r="C48" s="26" t="inlineStr">
        <is>
          <t>$0.40-$0.67</t>
        </is>
      </c>
      <c r="D48" s="26" t="inlineStr">
        <is>
          <t>$1.67-$3.13</t>
        </is>
      </c>
      <c r="E48" s="26" t="inlineStr">
        <is>
          <t>$2.00-$4.00</t>
        </is>
      </c>
      <c r="F48" s="26" t="inlineStr">
        <is>
          <t>Goes UP with scale (you can't fake-organic at scale). Still cheap vs SaaS norms ($25-100 CAC).</t>
        </is>
      </c>
    </row>
    <row r="49" ht="36" customHeight="1">
      <c r="A49" s="25" t="inlineStr">
        <is>
          <t>Instagram followers gained</t>
        </is>
      </c>
      <c r="B49" s="26" t="inlineStr">
        <is>
          <t>—</t>
        </is>
      </c>
      <c r="C49" s="26" t="inlineStr">
        <is>
          <t>500-1.5K</t>
        </is>
      </c>
      <c r="D49" s="26" t="inlineStr">
        <is>
          <t>5K-15K</t>
        </is>
      </c>
      <c r="E49" s="26" t="inlineStr">
        <is>
          <t>20K-50K</t>
        </is>
      </c>
      <c r="F49" s="26" t="inlineStr">
        <is>
          <t>Influencer + paid TikTok cross-pollinate IG.</t>
        </is>
      </c>
    </row>
    <row r="50" ht="36" customHeight="1">
      <c r="A50" s="25" t="inlineStr">
        <is>
          <t>TikTok followers gained</t>
        </is>
      </c>
      <c r="B50" s="26" t="inlineStr">
        <is>
          <t>—</t>
        </is>
      </c>
      <c r="C50" s="26" t="inlineStr">
        <is>
          <t>1K-3K</t>
        </is>
      </c>
      <c r="D50" s="26" t="inlineStr">
        <is>
          <t>8K-20K</t>
        </is>
      </c>
      <c r="E50" s="26" t="inlineStr">
        <is>
          <t>30K-75K</t>
        </is>
      </c>
      <c r="F50" s="26" t="inlineStr">
        <is>
          <t>TikTok rewards consistency + paid Spark Ads. Biggest multiplier at $100K.</t>
        </is>
      </c>
    </row>
    <row r="51" ht="36" customHeight="1">
      <c r="A51" s="25" t="inlineStr">
        <is>
          <t>Twitter followers gained</t>
        </is>
      </c>
      <c r="B51" s="26" t="inlineStr">
        <is>
          <t>—</t>
        </is>
      </c>
      <c r="C51" s="26" t="inlineStr">
        <is>
          <t>200-500</t>
        </is>
      </c>
      <c r="D51" s="26" t="inlineStr">
        <is>
          <t>2K-5K</t>
        </is>
      </c>
      <c r="E51" s="26" t="inlineStr">
        <is>
          <t>8K-20K</t>
        </is>
      </c>
      <c r="F51" s="26" t="inlineStr">
        <is>
          <t>Twitter is hardest to grow organically. PR + Show HN moves the needle here.</t>
        </is>
      </c>
    </row>
    <row r="52" ht="36" customHeight="1">
      <c r="A52" s="25" t="inlineStr">
        <is>
          <t>Press placements</t>
        </is>
      </c>
      <c r="B52" s="26" t="inlineStr">
        <is>
          <t>1-2</t>
        </is>
      </c>
      <c r="C52" s="26" t="inlineStr">
        <is>
          <t>1 small</t>
        </is>
      </c>
      <c r="D52" s="26" t="inlineStr">
        <is>
          <t>3-5 mid</t>
        </is>
      </c>
      <c r="E52" s="26" t="inlineStr">
        <is>
          <t>5-10 incl. 1-2 tier-1</t>
        </is>
      </c>
      <c r="F52" s="26" t="inlineStr">
        <is>
          <t>$1K = founder hustle. $25K = niche placements (Sports Illustrated digital, Bleacher Report). $100K = potential TechCrunch / The Hustle.</t>
        </is>
      </c>
    </row>
    <row r="53" ht="36" customHeight="1">
      <c r="A53" s="25" t="inlineStr">
        <is>
          <t>Viral pieces (&gt;100K views, organic)</t>
        </is>
      </c>
      <c r="B53" s="26" t="inlineStr">
        <is>
          <t>1</t>
        </is>
      </c>
      <c r="C53" s="26" t="inlineStr">
        <is>
          <t>0-1</t>
        </is>
      </c>
      <c r="D53" s="26" t="inlineStr">
        <is>
          <t>2-4</t>
        </is>
      </c>
      <c r="E53" s="26" t="inlineStr">
        <is>
          <t>4-8</t>
        </is>
      </c>
      <c r="F53" s="26" t="inlineStr">
        <is>
          <t>Need quality + volume. Live street TikToks at $100K specifically engineered for this.</t>
        </is>
      </c>
    </row>
    <row r="54" ht="36" customHeight="1">
      <c r="A54" s="25" t="inlineStr">
        <is>
          <t>Brand recall in target audience (post-launch survey)</t>
        </is>
      </c>
      <c r="B54" s="26" t="inlineStr">
        <is>
          <t>—</t>
        </is>
      </c>
      <c r="C54" s="26" t="inlineStr">
        <is>
          <t>&lt;5%</t>
        </is>
      </c>
      <c r="D54" s="26" t="inlineStr">
        <is>
          <t>10-20%</t>
        </is>
      </c>
      <c r="E54" s="26" t="inlineStr">
        <is>
          <t>25-40%</t>
        </is>
      </c>
      <c r="F54" s="26" t="inlineStr">
        <is>
          <t>Estimated via post-launch user survey. At $100K + a press hit, brand becomes a known name in the bettor demo.</t>
        </is>
      </c>
    </row>
    <row r="55" ht="36" customHeight="1">
      <c r="A55" s="25" t="inlineStr">
        <is>
          <t>Lifetime Pro conversions (% of signups)</t>
        </is>
      </c>
      <c r="B55" s="26" t="inlineStr">
        <is>
          <t>1-2%</t>
        </is>
      </c>
      <c r="C55" s="26" t="inlineStr">
        <is>
          <t>15-30 ($45-450 ARR)</t>
        </is>
      </c>
      <c r="D55" s="26" t="inlineStr">
        <is>
          <t>80-300 ($240-9K ARR)</t>
        </is>
      </c>
      <c r="E55" s="26" t="inlineStr">
        <is>
          <t>250-1.5K ($750-45K ARR)</t>
        </is>
      </c>
      <c r="F55" s="26" t="inlineStr">
        <is>
          <t>Conservative. Lifetime Pro at $30 launch promo, $150 regular. Actual conversion depends on launch-week comms.</t>
        </is>
      </c>
    </row>
    <row r="58" ht="32" customHeight="1">
      <c r="A58" s="4" t="inlineStr">
        <is>
          <t>STRATEGY NOTES — what changes at each scale</t>
        </is>
      </c>
    </row>
    <row r="59" ht="52" customHeight="1">
      <c r="A59" s="27" t="inlineStr">
        <is>
          <t>$1K (current):</t>
        </is>
      </c>
      <c r="B59" s="26" t="inlineStr">
        <is>
          <t>Founder-led hustle. Every dollar of ad spend is rationed. Distribution is paste-and-post + organic + sweeps. Goal is to PROVE the funnel works before raising. Target CPL &lt;$1.50, founder time covers everything else.</t>
        </is>
      </c>
    </row>
    <row r="60" ht="52" customHeight="1">
      <c r="A60" s="27" t="inlineStr">
        <is>
          <t>$25K (early traction):</t>
        </is>
      </c>
      <c r="B60" s="26" t="inlineStr">
        <is>
          <t>First serious paid push. Hire 1-3 micro creators for paid posts. Upgrade Gleam to Hobby to unlock branded image + viral share. Add a small PR push (DIY founder outreach with media training). 5-10x the signup count of $1K plan.</t>
        </is>
      </c>
    </row>
    <row r="61" ht="52" customHeight="1">
      <c r="A61" s="27" t="inlineStr">
        <is>
          <t>$100K (post-seed marketing):</t>
        </is>
      </c>
      <c r="B61" s="26" t="inlineStr">
        <is>
          <t>Real campaign. Macro influencer ($15-25K single post), multi-city 'man on the street' TikTok shoots ($18K), bigger sweeps prize ($25K cash gets 10x more entrants than $500 tickets), PR firm retainer, ProductHunt-coordinated launch with paid hunter. Brand starts to feel like a 'thing' in the sports-bettor demo.</t>
        </is>
      </c>
    </row>
    <row r="62" ht="52" customHeight="1">
      <c r="A62" s="27" t="inlineStr">
        <is>
          <t>Diminishing returns above $100K:</t>
        </is>
      </c>
      <c r="B62" s="26" t="inlineStr">
        <is>
          <t>Once you're at 50K+ pre-launch waitlist, the bottleneck becomes product, not marketing. Spending more on awareness without conversion infrastructure (onboarding, retention loop, paid tier) is wasted. Set the marketing pause at signup target.</t>
        </is>
      </c>
    </row>
  </sheetData>
  <mergeCells count="8">
    <mergeCell ref="A2:F2"/>
    <mergeCell ref="B62:F62"/>
    <mergeCell ref="A45:F45"/>
    <mergeCell ref="A1:F1"/>
    <mergeCell ref="B59:F59"/>
    <mergeCell ref="B60:F60"/>
    <mergeCell ref="A58:F58"/>
    <mergeCell ref="B61:F6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22" customWidth="1" min="3" max="3"/>
    <col width="38" customWidth="1" min="4" max="4"/>
    <col width="42" customWidth="1" min="5" max="5"/>
    <col width="36" customWidth="1" min="6" max="6"/>
    <col width="38" customWidth="1" min="7" max="7"/>
    <col width="11" customWidth="1" min="8" max="8"/>
    <col width="12" customWidth="1" min="9" max="9"/>
  </cols>
  <sheetData>
    <row r="1" ht="32" customHeight="1">
      <c r="A1" s="4" t="inlineStr">
        <is>
          <t>DAILY STRATEGY — 18-day execution plan (May 14 → May 31)</t>
        </is>
      </c>
    </row>
    <row r="2" ht="44" customHeight="1">
      <c r="A2" s="12" t="inlineStr">
        <is>
          <t>THE source-of-truth daily plan. Goal: maximize waitlist signups + social followers. Auto column = Claude's cron + autonomous infra. You column = paste-ready posts you ship. Outreach = personal asks / DMs. Activation column = what launches or runs that day. Cumulative target = where the waitlist needs to be by EOD.</t>
        </is>
      </c>
    </row>
    <row r="4" ht="24" customHeight="1">
      <c r="A4" s="6" t="inlineStr">
        <is>
          <t>Date</t>
        </is>
      </c>
      <c r="B4" s="6" t="inlineStr">
        <is>
          <t>Day</t>
        </is>
      </c>
      <c r="C4" s="6" t="inlineStr">
        <is>
          <t>Focus</t>
        </is>
      </c>
      <c r="D4" s="6" t="inlineStr">
        <is>
          <t>Auto (Claude)</t>
        </is>
      </c>
      <c r="E4" s="6" t="inlineStr">
        <is>
          <t>You — posts to ship</t>
        </is>
      </c>
      <c r="F4" s="6" t="inlineStr">
        <is>
          <t>You — outreach / setup</t>
        </is>
      </c>
      <c r="G4" s="6" t="inlineStr">
        <is>
          <t>Activations live/launching</t>
        </is>
      </c>
      <c r="H4" s="6" t="inlineStr">
        <is>
          <t>Daily target</t>
        </is>
      </c>
      <c r="I4" s="6" t="inlineStr">
        <is>
          <t>Cumulative</t>
        </is>
      </c>
    </row>
    <row r="5" ht="130" customHeight="1">
      <c r="A5" s="28" t="inlineStr">
        <is>
          <t>May 14</t>
        </is>
      </c>
      <c r="B5" s="29" t="n">
        <v>2</v>
      </c>
      <c r="C5" s="30" t="inlineStr">
        <is>
          <t>🚀 SWEEPS LAUNCH NIGHT</t>
        </is>
      </c>
      <c r="D5" s="26" t="inlineStr">
        <is>
          <t>• Sweeps CTA live in welcome + daily-pick emails
• pick1.live banner updated with new URL</t>
        </is>
      </c>
      <c r="E5" s="26" t="inlineStr">
        <is>
          <t>• X: sweeps announcement (SWEEPSTAKES_LAUNCH_COPY.md §1)
• IG: feed post + update bio link (§2)
• FB Page: post + pin (§4)
• Email: blast to existing waitlist (§5)
• LinkedIn: founder post (DISTRIBUTION_QUEUE.md)
• Reddit r/SideProject (DISTRIBUTION_QUEUE.md)</t>
        </is>
      </c>
      <c r="F5" s="26" t="inlineStr">
        <is>
          <t>• Launch Meta Campaign 1 ($50/day, 3 PNGs)
• Create Zealy + Galxe + Layer3 + TaskOn accounts (~20 min)
• Send Twitter dev app creds (4 OAuth values)</t>
        </is>
      </c>
      <c r="G5" s="26" t="inlineStr">
        <is>
          <t>✅ Gleam LIVE (#6)
✅ Email CTAs LIVE (#9)
✅ Distribution queue drafted (#10)
Launching: Sweeps announcement everywhere</t>
        </is>
      </c>
      <c r="H5" s="31" t="n">
        <v>150</v>
      </c>
      <c r="I5" s="31" t="n">
        <v>250</v>
      </c>
    </row>
    <row r="6" ht="130" customHeight="1">
      <c r="A6" s="28" t="inlineStr">
        <is>
          <t>May 15</t>
        </is>
      </c>
      <c r="B6" s="29" t="n">
        <v>3</v>
      </c>
      <c r="C6" s="30" t="inlineStr">
        <is>
          <t>🌐 WEB3 QUEST LAUNCH</t>
        </is>
      </c>
      <c r="D6" s="26" t="inlineStr">
        <is>
          <t>• Build Founder Pass PNG generator
• Ship referral leaderboard page on pick1.live
• Configure Zealy + Galxe + Layer3 + TaskOn quests (after Noa creates accounts)</t>
        </is>
      </c>
      <c r="E6" s="26" t="inlineStr">
        <is>
          <t>• X: 'thread on how Pick1 calibrates' (organic)
• IG: carousel post (last 3 days picks)
• Reddit r/giveaways post (DISTRIBUTION_QUEUE.md)
• Reddit r/contests post
• Indie Hackers milestone post</t>
        </is>
      </c>
      <c r="F6" s="26" t="inlineStr">
        <is>
          <t>• Crypto Twitter outreach: 5 accounts (5-50K followers) — $50-100 each or Lifetime Pro
• Reach out to first 3 micro-influencers</t>
        </is>
      </c>
      <c r="G6" s="26" t="inlineStr">
        <is>
          <t>Launching: Zealy (#12), Galxe (#13), Layer3 (#14), TaskOn (#15) quests
Launching: Founder Pass (#17) — first batch</t>
        </is>
      </c>
      <c r="H6" s="31" t="n">
        <v>200</v>
      </c>
      <c r="I6" s="31" t="n">
        <v>450</v>
      </c>
    </row>
    <row r="7" ht="130" customHeight="1">
      <c r="A7" s="28" t="inlineStr">
        <is>
          <t>May 16</t>
        </is>
      </c>
      <c r="B7" s="29" t="n">
        <v>4</v>
      </c>
      <c r="C7" s="30" t="inlineStr">
        <is>
          <t>🎬 CONTENT BLITZ</t>
        </is>
      </c>
      <c r="D7" s="26" t="inlineStr">
        <is>
          <t>• Send Founder Pass PNG to all existing waitlist via Resend
• Render 2 new ad creative variations for A/B test</t>
        </is>
      </c>
      <c r="E7" s="26" t="inlineStr">
        <is>
          <t>• TikTok: founder explainer video (30 sec)
• IG Reel: same content, vertical crop
• X: quote-tweet yesterday's sweeps with thread
• FB: share Founder Pass announcement</t>
        </is>
      </c>
      <c r="F7" s="26" t="inlineStr">
        <is>
          <t>• Crypto Twitter: 5 more accounts
• DM 3 micro-influencers</t>
        </is>
      </c>
      <c r="G7" s="26" t="inlineStr">
        <is>
          <t>✅ Founder Pass live (#17)
Web3 quests trickling in (#12-15)</t>
        </is>
      </c>
      <c r="H7" s="31" t="n">
        <v>200</v>
      </c>
      <c r="I7" s="31" t="n">
        <v>650</v>
      </c>
    </row>
    <row r="8" ht="130" customHeight="1">
      <c r="A8" s="28" t="inlineStr">
        <is>
          <t>May 17</t>
        </is>
      </c>
      <c r="B8" s="29" t="n">
        <v>5</v>
      </c>
      <c r="C8" s="30" t="inlineStr">
        <is>
          <t>🎯 TARGETED COMMUNITY SEEDING</t>
        </is>
      </c>
      <c r="D8" s="26" t="inlineStr">
        <is>
          <t>• Daily-tweet cron live (after Twitter dev creds)
• Mid-week dashboard email to existing list</t>
        </is>
      </c>
      <c r="E8" s="26" t="inlineStr">
        <is>
          <t>• TikTok: man-on-the-street style pick reveal
• IG Story: poll 'who's tonight's winner?'
• X: quote ratio-bet against a bad take</t>
        </is>
      </c>
      <c r="F8" s="26" t="inlineStr">
        <is>
          <t>• Polymarket Discord: founder lurks/comments
• Kalshi Discord: same
• Overtime Markets: same
• DM 3 more micro-influencers</t>
        </is>
      </c>
      <c r="G8" s="26" t="inlineStr">
        <is>
          <t>Launching: Prediction-market seeding (#18)
Running: Web3 quests, sweeps, ads</t>
        </is>
      </c>
      <c r="H8" s="31" t="n">
        <v>200</v>
      </c>
      <c r="I8" s="31" t="n">
        <v>850</v>
      </c>
    </row>
    <row r="9" ht="130" customHeight="1">
      <c r="A9" s="28" t="inlineStr">
        <is>
          <t>May 18</t>
        </is>
      </c>
      <c r="B9" s="29" t="n">
        <v>6</v>
      </c>
      <c r="C9" s="30" t="inlineStr">
        <is>
          <t>📱 TIKTOK CHALLENGE LAUNCH</t>
        </is>
      </c>
      <c r="D9" s="26" t="inlineStr">
        <is>
          <t>• Daily pick auto-tweet
• Auto sweeps reminder in daily-pick email (already live, ongoing)</t>
        </is>
      </c>
      <c r="E9" s="26" t="inlineStr">
        <is>
          <t>• TikTok: launch #BeatPick1 challenge with trending sound
• IG: same video reposted as Reel
• X: launch tweet for #BeatPick1
• Respond to every TikTok duet under 50 likes</t>
        </is>
      </c>
      <c r="F9" s="26" t="inlineStr">
        <is>
          <t>• Crypto Twitter: 5 more accounts (total 15)
• Polymarket Discord: post 7-day audit</t>
        </is>
      </c>
      <c r="G9" s="26" t="inlineStr">
        <is>
          <t>Launching: TikTok #BeatPick1 (#20)
Running: All quests, sweeps, ads, IG Story takeover #1 starts</t>
        </is>
      </c>
      <c r="H9" s="31" t="n">
        <v>250</v>
      </c>
      <c r="I9" s="31" t="n">
        <v>1100</v>
      </c>
    </row>
    <row r="10" ht="130" customHeight="1">
      <c r="A10" s="28" t="inlineStr">
        <is>
          <t>May 19</t>
        </is>
      </c>
      <c r="B10" s="29" t="n">
        <v>7</v>
      </c>
      <c r="C10" s="30" t="inlineStr">
        <is>
          <t>📨 INFLUENCER OUTREACH DAY</t>
        </is>
      </c>
      <c r="D10" s="26" t="inlineStr">
        <is>
          <t>• Mid-campaign sweeps reminder email blast (auto, all subscribers)
• Build Daily Lineup Card generator</t>
        </is>
      </c>
      <c r="E10" s="26" t="inlineStr">
        <is>
          <t>• Daily pick + tweet
• IG Story: behind the scenes of how Pick1 picks
• TikTok: respond to #BeatPick1 duets in a compilation video
• Reddit r/free post</t>
        </is>
      </c>
      <c r="F10" s="26" t="inlineStr">
        <is>
          <t>• ★ DM all 20 micro-influencers from INFLUENCER_OUTREACH.md
• Personalized first line is non-negotiable
• IG Story takeover #2 launches</t>
        </is>
      </c>
      <c r="G10" s="26" t="inlineStr">
        <is>
          <t>Launching: Influencer program (#4) full DM blast
Launching: IG Story takeovers (#21) — day 1</t>
        </is>
      </c>
      <c r="H10" s="31" t="n">
        <v>300</v>
      </c>
      <c r="I10" s="31" t="n">
        <v>1400</v>
      </c>
    </row>
    <row r="11" ht="130" customHeight="1">
      <c r="A11" s="28" t="inlineStr">
        <is>
          <t>May 20</t>
        </is>
      </c>
      <c r="B11" s="29" t="n">
        <v>8</v>
      </c>
      <c r="C11" s="32" t="inlineStr">
        <is>
          <t>📰 NEWSLETTER CROSS-PROMO</t>
        </is>
      </c>
      <c r="D11" s="26" t="inlineStr">
        <is>
          <t>• Submit to SparkLoop ($200 cap) — 24-72hr approval
• Public Accountability Bet page goes live</t>
        </is>
      </c>
      <c r="E11" s="26" t="inlineStr">
        <is>
          <t>• Daily pick + tweet
• TikTok: 'AI bet vs human bet' format
• IG: today's pick as branded card</t>
        </is>
      </c>
      <c r="F11" s="26" t="inlineStr">
        <is>
          <t>• IG Story takeover #3
• Follow up with non-responding influencers (1 ask only, then drop)</t>
        </is>
      </c>
      <c r="G11" s="26" t="inlineStr">
        <is>
          <t>Launching: SparkLoop (#7)
Launching: Public Accountability Bet (#2)
Running: All quests, sweeps, influencer takeovers</t>
        </is>
      </c>
      <c r="H11" s="31" t="n">
        <v>300</v>
      </c>
      <c r="I11" s="31" t="n">
        <v>1700</v>
      </c>
    </row>
    <row r="12" ht="130" customHeight="1">
      <c r="A12" s="28" t="inlineStr">
        <is>
          <t>May 21</t>
        </is>
      </c>
      <c r="B12" s="29" t="n">
        <v>9</v>
      </c>
      <c r="C12" s="32" t="inlineStr">
        <is>
          <t>🎨 CONTENT WEEKEND</t>
        </is>
      </c>
      <c r="D12" s="26" t="inlineStr">
        <is>
          <t>• Saturday — sports content peaks. Auto-send 'weekend slate' email to existing list</t>
        </is>
      </c>
      <c r="E12" s="26" t="inlineStr">
        <is>
          <t>• TikTok: weekend best-of compilation
• IG Story: live game commentary as picks play out
• X: thread on weekend sports betting biggest opportunities</t>
        </is>
      </c>
      <c r="F12" s="26" t="inlineStr">
        <is>
          <t>• IG Story takeover #4
• Crypto Twitter posts going live (10-20 retweets accumulating)</t>
        </is>
      </c>
      <c r="G12" s="26" t="inlineStr">
        <is>
          <t>Running: All quests, ads, sweeps, content cadence</t>
        </is>
      </c>
      <c r="H12" s="31" t="n">
        <v>300</v>
      </c>
      <c r="I12" s="31" t="n">
        <v>2000</v>
      </c>
    </row>
    <row r="13" ht="130" customHeight="1">
      <c r="A13" s="28" t="inlineStr">
        <is>
          <t>May 22</t>
        </is>
      </c>
      <c r="B13" s="29" t="n">
        <v>10</v>
      </c>
      <c r="C13" s="32" t="inlineStr">
        <is>
          <t>🏆 WEEK 2 LAUNCH STACK</t>
        </is>
      </c>
      <c r="D13" s="26" t="inlineStr">
        <is>
          <t>• Day-10 budget reallocation: kill ads &gt;$3 CPL, double winners
• Launch KingSumo viral giveaway (free tier, 1K cap)
• Daily Lineup Card live in morning email</t>
        </is>
      </c>
      <c r="E13" s="26" t="inlineStr">
        <is>
          <t>• TikTok: 'AI got X right last week' receipts video
• IG: carousel of last week's hits
• X: thread of the week's wins + a miss (transparency)</t>
        </is>
      </c>
      <c r="F13" s="26" t="inlineStr">
        <is>
          <t>• IG Story takeover #5
• 7-day check-in with first responding influencers</t>
        </is>
      </c>
      <c r="G13" s="26" t="inlineStr">
        <is>
          <t>Launching: KingSumo viral giveaway (#11)
Launching: Daily Lineup Card (#22)</t>
        </is>
      </c>
      <c r="H13" s="31" t="n">
        <v>400</v>
      </c>
      <c r="I13" s="31" t="n">
        <v>2400</v>
      </c>
    </row>
    <row r="14" ht="130" customHeight="1">
      <c r="A14" s="28" t="inlineStr">
        <is>
          <t>May 23</t>
        </is>
      </c>
      <c r="B14" s="29" t="n">
        <v>11</v>
      </c>
      <c r="C14" s="32" t="inlineStr">
        <is>
          <t>🔁 RETARGETING WAVE</t>
        </is>
      </c>
      <c r="D14" s="26" t="inlineStr">
        <is>
          <t>• Bump Meta retargeting budget to $20/day (anyone who visited but didn't sign up)
• Re-engagement email to 7-day-cold subscribers</t>
        </is>
      </c>
      <c r="E14" s="26" t="inlineStr">
        <is>
          <t>• Daily pick + tweet
• IG: today's lineup card
• TikTok: 'POV: you bet on Pick1' format</t>
        </is>
      </c>
      <c r="F14" s="26" t="inlineStr">
        <is>
          <t>• IG Story takeover #6
• Quote-tweet last week's pick with the result</t>
        </is>
      </c>
      <c r="G14" s="26" t="inlineStr">
        <is>
          <t>Running: KingSumo + Gleam in parallel + all quests + IG takeovers</t>
        </is>
      </c>
      <c r="H14" s="31" t="n">
        <v>350</v>
      </c>
      <c r="I14" s="31" t="n">
        <v>2750</v>
      </c>
    </row>
    <row r="15" ht="130" customHeight="1">
      <c r="A15" s="28" t="inlineStr">
        <is>
          <t>May 24</t>
        </is>
      </c>
      <c r="B15" s="29" t="n">
        <v>12</v>
      </c>
      <c r="C15" s="32" t="inlineStr">
        <is>
          <t>📊 RECEIPTS WEEKEND</t>
        </is>
      </c>
      <c r="D15" s="26" t="inlineStr">
        <is>
          <t>• Auto-send 'two-week receipts' email — every pick we've made + result</t>
        </is>
      </c>
      <c r="E15" s="26" t="inlineStr">
        <is>
          <t>• TikTok: 'I posted every pick before kickoff — here's the result' format
• IG: 2-week receipts carousel
• X: thread on calibration so far</t>
        </is>
      </c>
      <c r="F15" s="26" t="inlineStr">
        <is>
          <t>• IG Story takeover #7
• Reddit r/sportsbook brief comment-engagement (not the big post yet)</t>
        </is>
      </c>
      <c r="G15" s="26" t="inlineStr">
        <is>
          <t>Running: All. Content density peaks for the weekend.</t>
        </is>
      </c>
      <c r="H15" s="31" t="n">
        <v>350</v>
      </c>
      <c r="I15" s="31" t="n">
        <v>3100</v>
      </c>
    </row>
    <row r="16" ht="130" customHeight="1">
      <c r="A16" s="28" t="inlineStr">
        <is>
          <t>May 25</t>
        </is>
      </c>
      <c r="B16" s="29" t="n">
        <v>13</v>
      </c>
      <c r="C16" s="32" t="inlineStr">
        <is>
          <t>🎤 PRE-FOUNDER-STORY HYPE</t>
        </is>
      </c>
      <c r="D16" s="26" t="inlineStr">
        <is>
          <t>• Pre-warm email subscribers: 'tomorrow we tell you why Pick1 exists'</t>
        </is>
      </c>
      <c r="E16" s="26" t="inlineStr">
        <is>
          <t>• X: cryptic tease tweet
• IG Story: BTS shot of the founder writing
• TikTok: '24 hours until I tell you the real story'</t>
        </is>
      </c>
      <c r="F16" s="26" t="inlineStr">
        <is>
          <t>• IG Story takeover #8
• Send press list a heads-up (1-line email): 'founder essay drops tomorrow'</t>
        </is>
      </c>
      <c r="G16" s="26" t="inlineStr">
        <is>
          <t>Running: All quests + sweeps + KingSumo. Building anticipation.</t>
        </is>
      </c>
      <c r="H16" s="31" t="n">
        <v>300</v>
      </c>
      <c r="I16" s="31" t="n">
        <v>3400</v>
      </c>
    </row>
    <row r="17" ht="130" customHeight="1">
      <c r="A17" s="28" t="inlineStr">
        <is>
          <t>May 26</t>
        </is>
      </c>
      <c r="B17" s="29" t="n">
        <v>14</v>
      </c>
      <c r="C17" s="32" t="inlineStr">
        <is>
          <t>📖 FOUNDER STORY DROP - DAY 1</t>
        </is>
      </c>
      <c r="D17" s="26" t="inlineStr">
        <is>
          <t>• Auto-email blast: full founder essay to existing list
• Auto-pin essay on pick1.live homepage</t>
        </is>
      </c>
      <c r="E17" s="26" t="inlineStr">
        <is>
          <t>• X: long-form thread (1,500 words, 25 tweets)
• Substack/Medium: full 2,000-word essay
• TikTok: 60-sec founder-to-camera version
• IG carousel: essay highlights</t>
        </is>
      </c>
      <c r="F17" s="26" t="inlineStr">
        <is>
          <t>• DM essay link to 10 sports journalists with personal note
• IG Story takeover #9</t>
        </is>
      </c>
      <c r="G17" s="26" t="inlineStr">
        <is>
          <t>Launching: Founder Story Drop (#5)
Big content wave — set engagement alerts</t>
        </is>
      </c>
      <c r="H17" s="31" t="n">
        <v>600</v>
      </c>
      <c r="I17" s="31" t="n">
        <v>4000</v>
      </c>
    </row>
    <row r="18" ht="130" customHeight="1">
      <c r="A18" s="28" t="inlineStr">
        <is>
          <t>May 27</t>
        </is>
      </c>
      <c r="B18" s="29" t="n">
        <v>15</v>
      </c>
      <c r="C18" s="33" t="inlineStr">
        <is>
          <t>🔄 FOUNDER STORY DROP - DAY 2 (AMPLIFY)</t>
        </is>
      </c>
      <c r="D18" s="26" t="inlineStr">
        <is>
          <t>• Auto-boost: pin best comments + quote-tweet best responses</t>
        </is>
      </c>
      <c r="E18" s="26" t="inlineStr">
        <is>
          <t>• X: respond to every reply on the thread (algo signal)
• TikTok: 'reply to the founder story' video
• IG: respond to DMs + Story replies</t>
        </is>
      </c>
      <c r="F18" s="26" t="inlineStr">
        <is>
          <t>• Push top-performing piece to paid amplification ($200 TikTok Spark Ads if Reel passed 50K)
• IG Story takeover #10 (final)</t>
        </is>
      </c>
      <c r="G18" s="26" t="inlineStr">
        <is>
          <t>Boost mode — riding the founder story wave</t>
        </is>
      </c>
      <c r="H18" s="31" t="n">
        <v>500</v>
      </c>
      <c r="I18" s="31" t="n">
        <v>4500</v>
      </c>
    </row>
    <row r="19" ht="130" customHeight="1">
      <c r="A19" s="28" t="inlineStr">
        <is>
          <t>May 28</t>
        </is>
      </c>
      <c r="B19" s="29" t="n">
        <v>16</v>
      </c>
      <c r="C19" s="33" t="inlineStr">
        <is>
          <t>🥊 BEAT THE AI CHALLENGE LAUNCH</t>
        </is>
      </c>
      <c r="D19" s="26" t="inlineStr">
        <is>
          <t>• Auto-launch /beat-the-ai page (Twitter hashtag tracker + leaderboard)</t>
        </is>
      </c>
      <c r="E19" s="26" t="inlineStr">
        <is>
          <t>• X: launch #BeatPick1 hashtag campaign
• TikTok: founder challenge video
• IG: explainer Reel</t>
        </is>
      </c>
      <c r="F19" s="26" t="inlineStr">
        <is>
          <t>• Twitter ratio-bet content drop (designed to be quote-dunked)
• Reddit r/sportsbook: long-form analysis post (DISTRIBUTION_QUEUE.md style)</t>
        </is>
      </c>
      <c r="G19" s="26" t="inlineStr">
        <is>
          <t>Launching: Beat the AI Challenge (#3)
Reddit r/sportsbook post (heaviest non-paid activation)</t>
        </is>
      </c>
      <c r="H19" s="31" t="n">
        <v>500</v>
      </c>
      <c r="I19" s="31" t="n">
        <v>5000</v>
      </c>
    </row>
    <row r="20" ht="130" customHeight="1">
      <c r="A20" s="28" t="inlineStr">
        <is>
          <t>May 29</t>
        </is>
      </c>
      <c r="B20" s="29" t="n">
        <v>17</v>
      </c>
      <c r="C20" s="33" t="inlineStr">
        <is>
          <t>📺 SHOW HN PREP + SOCIAL PROOF</t>
        </is>
      </c>
      <c r="D20" s="26" t="inlineStr">
        <is>
          <t>• Pre-stage Show HN draft + screenshots
• Auto-collect best testimonials from existing users for a 'wall of love' page</t>
        </is>
      </c>
      <c r="E20" s="26" t="inlineStr">
        <is>
          <t>• Sports betting forum posts: covers.com, sportsbookreview, betpop
• TikTok: 'wall of love' compilation
• IG: testimonials carousel</t>
        </is>
      </c>
      <c r="F20" s="26" t="inlineStr">
        <is>
          <t>• Cross-promote with 1-2 prediction-market accounts for AMA</t>
        </is>
      </c>
      <c r="G20" s="26" t="inlineStr">
        <is>
          <t>Building social proof for HN + launch day</t>
        </is>
      </c>
      <c r="H20" s="31" t="n">
        <v>400</v>
      </c>
      <c r="I20" s="31" t="n">
        <v>5400</v>
      </c>
    </row>
    <row r="21" ht="130" customHeight="1">
      <c r="A21" s="28" t="inlineStr">
        <is>
          <t>May 30</t>
        </is>
      </c>
      <c r="B21" s="29" t="n">
        <v>18</v>
      </c>
      <c r="C21" s="33" t="inlineStr">
        <is>
          <t>💥 SHOW HN DAY + DAILY DROP STARTS</t>
        </is>
      </c>
      <c r="D21" s="26" t="inlineStr">
        <is>
          <t>• 8:00 AM ET: Post Show HN (DISTRIBUTION_QUEUE.md draft)
• Auto-respond to comments via founder, not bot
• Daily Drop #1 on Twitter (cron, $25 prize)
• Auto-blast 'last 24 hours' sweeps reminder to all signups</t>
        </is>
      </c>
      <c r="E21" s="26" t="inlineStr">
        <is>
          <t>• X: Pin HN link, thread it
• TikTok: 'Pick1 is on the front page of HN' format if it hits
• IG: launch-week countdown content</t>
        </is>
      </c>
      <c r="F21" s="26" t="inlineStr">
        <is>
          <t>• Pre-warm: schedule winner-draw livestream announcement
• Send press kit to anyone covering HN</t>
        </is>
      </c>
      <c r="G21" s="26" t="inlineStr">
        <is>
          <t>Launching: Show HN, Daily Drop (#3 sub-mechanic), Final reminder blast</t>
        </is>
      </c>
      <c r="H21" s="31" t="n">
        <v>600</v>
      </c>
      <c r="I21" s="31" t="n">
        <v>6000</v>
      </c>
    </row>
    <row r="22" ht="130" customHeight="1">
      <c r="A22" s="28" t="inlineStr">
        <is>
          <t>May 31</t>
        </is>
      </c>
      <c r="B22" s="29" t="n">
        <v>19</v>
      </c>
      <c r="C22" s="34" t="inlineStr">
        <is>
          <t>🏁 LAUNCH DAY + WINNER DRAW</t>
        </is>
      </c>
      <c r="D22" s="26" t="inlineStr">
        <is>
          <t>• Auto: final 6hr / 3hr / 1hr countdown emails
• Auto: winner-draw stream landing page goes live
• Auto: post-draw winner announcement email
• Auto: 'app launches Monday' transition email</t>
        </is>
      </c>
      <c r="E22" s="26" t="inlineStr">
        <is>
          <t>• X: 'sweeps closing in 6 hours' urgency posts every 2 hours
• IG Story: live countdown
• TikTok: live draw if possible
• FB Live: draw event 11:59 PM ET</t>
        </is>
      </c>
      <c r="F22" s="26" t="inlineStr">
        <is>
          <t>• Press: 'winner announced live' moment for screenshots
• Daily Drop #2 + Daily Drop #3 (final 2 prizes)</t>
        </is>
      </c>
      <c r="G22" s="26" t="inlineStr">
        <is>
          <t>All activations close. Draw happens at 23:59 ET.</t>
        </is>
      </c>
      <c r="H22" s="31" t="n">
        <v>800</v>
      </c>
      <c r="I22" s="31" t="n">
        <v>6800</v>
      </c>
    </row>
    <row r="25" ht="32" customHeight="1">
      <c r="A25" s="4" t="inlineStr">
        <is>
          <t>HOW TO READ THIS TAB</t>
        </is>
      </c>
    </row>
    <row r="26" ht="48" customHeight="1">
      <c r="A26" s="27" t="inlineStr">
        <is>
          <t>Phase colors</t>
        </is>
      </c>
      <c r="B26" s="26" t="inlineStr">
        <is>
          <t>🔵 Light blue = Week 1 Foundation (build the funnel, push launch). 🟢 Light green = Week 2 Amplify (compound through cross-promo + influencers). 🟠 Light orange = Week 3 Final Push (founder story → HN → launch). Each phase has a different rhythm — Week 1 ships hard, Week 2 nurtures, Week 3 hypes.</t>
        </is>
      </c>
    </row>
    <row r="27" ht="48" customHeight="1">
      <c r="A27" s="27" t="inlineStr">
        <is>
          <t>Daily rhythm (every day)</t>
        </is>
      </c>
      <c r="B27" s="26" t="inlineStr">
        <is>
          <t>✓ Morning (9am ET): daily pick auto-sends to email + tweet (cron). ✓ Mid-morning: you post the day's TikTok + IG content. ✓ Afternoon: respond to comments on yesterday's posts. ✓ Evening: 1-3 outreach DMs OR amplify a hot piece of content. ✓ Night: check tracker, update KPI Dashboard.</t>
        </is>
      </c>
    </row>
    <row r="28" ht="48" customHeight="1">
      <c r="A28" s="27" t="inlineStr">
        <is>
          <t>If Meta CPL &gt; $3</t>
        </is>
      </c>
      <c r="B28" s="26" t="inlineStr">
        <is>
          <t>Day 10 reallocation rule (May 22): kill the worst ad, double the budget on the winner. Don't slowly drift — be ruthless. The Day 10 decision determines whether weeks 2-3 succeed.</t>
        </is>
      </c>
    </row>
    <row r="29" ht="48" customHeight="1">
      <c r="A29" s="27" t="inlineStr">
        <is>
          <t>If a TikTok hits 50K+ views organically</t>
        </is>
      </c>
      <c r="B29" s="26" t="inlineStr">
        <is>
          <t>Spend the $150 TikTok Spark Ads budget on it. Don't try to predict which one — let the algorithm tell you. Boost decision should be within 6 hours of crossing the threshold.</t>
        </is>
      </c>
    </row>
    <row r="30" ht="48" customHeight="1">
      <c r="A30" s="27" t="inlineStr">
        <is>
          <t>If the founder story drop bombs</t>
        </is>
      </c>
      <c r="B30" s="26" t="inlineStr">
        <is>
          <t>Don't double down. Move budget to whatever channel IS working (probably Meta retargeting + the winning TikTok). The story drop is a swing — has to be allowed to miss.</t>
        </is>
      </c>
    </row>
    <row r="31" ht="48" customHeight="1">
      <c r="A31" s="27" t="inlineStr">
        <is>
          <t>If Show HN flops</t>
        </is>
      </c>
      <c r="B31" s="26" t="inlineStr">
        <is>
          <t>Don't post again. Show HN gets one shot — post twice and you get downvote-bombed. Focus on Reddit r/sportsbook + the draw-day moment instead.</t>
        </is>
      </c>
    </row>
    <row r="32" ht="48" customHeight="1">
      <c r="A32" s="27" t="inlineStr">
        <is>
          <t>Cumulative targets</t>
        </is>
      </c>
      <c r="B32" s="26" t="inlineStr">
        <is>
          <t>Daily targets are conservative. Hitting them all = 6,800 signups by EOD May 31. Stretch (2x daily) = 13,600. Baseline goal is 1,500-2,500; everything above that is bonus from the web3 + influencer layers.</t>
        </is>
      </c>
    </row>
    <row r="33" ht="48" customHeight="1">
      <c r="A33" s="27" t="inlineStr">
        <is>
          <t>Track every day</t>
        </is>
      </c>
      <c r="B33" s="26" t="inlineStr">
        <is>
          <t>Tab 1 (KPI Dashboard) holds the metrics. This tab is the PLAN; tab 1 is the SCOREBOARD. Update tab 1 every night before bed (~3 min).</t>
        </is>
      </c>
    </row>
  </sheetData>
  <mergeCells count="11">
    <mergeCell ref="A25:I25"/>
    <mergeCell ref="B30:I30"/>
    <mergeCell ref="A2:I2"/>
    <mergeCell ref="B29:I29"/>
    <mergeCell ref="B33:I33"/>
    <mergeCell ref="A1:I1"/>
    <mergeCell ref="B28:I28"/>
    <mergeCell ref="B31:I31"/>
    <mergeCell ref="B27:I27"/>
    <mergeCell ref="B32:I32"/>
    <mergeCell ref="B26:I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50" customWidth="1" min="3" max="3"/>
    <col width="12" customWidth="1" min="4" max="4"/>
    <col width="14" customWidth="1" min="5" max="5"/>
    <col width="50" customWidth="1" min="6" max="6"/>
  </cols>
  <sheetData>
    <row r="1" ht="32" customHeight="1">
      <c r="A1" s="4" t="inlineStr">
        <is>
          <t>CONTENT ENGINE — daily production blueprint (22-34 touchpoints/day)</t>
        </is>
      </c>
    </row>
    <row r="2" ht="44" customHeight="1">
      <c r="A2" s="12" t="inlineStr">
        <is>
          <t>CMO call: with $1K budget you can't out-spend, only out-volume + out-repurpose. Current state: 2 TikToks/day. Target: 6 TikToks/day × 6-8x repurposing = 22-34 touchpoints/day. Founder time: ~70-80 min/day. Add a $300-500 Upwork content editor for the 18 days if 80 min/day is unsustainable.</t>
        </is>
      </c>
    </row>
    <row r="4" ht="22" customHeight="1">
      <c r="A4" s="35" t="inlineStr">
        <is>
          <t>DAILY CONTENT SCHEDULE (run this every day)</t>
        </is>
      </c>
    </row>
    <row r="5" ht="24" customHeight="1">
      <c r="A5" s="6" t="inlineStr">
        <is>
          <t>Time (ET)</t>
        </is>
      </c>
      <c r="B5" s="6" t="inlineStr">
        <is>
          <t>Platform</t>
        </is>
      </c>
      <c r="C5" s="6" t="inlineStr">
        <is>
          <t>Content type</t>
        </is>
      </c>
      <c r="D5" s="6" t="inlineStr">
        <is>
          <t>Effort</t>
        </is>
      </c>
      <c r="E5" s="6" t="inlineStr">
        <is>
          <t>Auto/Manual</t>
        </is>
      </c>
      <c r="F5" s="6" t="inlineStr">
        <is>
          <t>Notes</t>
        </is>
      </c>
    </row>
    <row r="6" ht="28" customHeight="1">
      <c r="A6" s="25" t="inlineStr">
        <is>
          <t>6:00 AM</t>
        </is>
      </c>
      <c r="B6" s="25" t="inlineStr">
        <is>
          <t>TikTok</t>
        </is>
      </c>
      <c r="C6" s="26" t="inlineStr">
        <is>
          <t>🎯 Pick-of-the-day reveal (45-sec founder selfie)</t>
        </is>
      </c>
      <c r="D6" s="25" t="inlineStr">
        <is>
          <t>5 min</t>
        </is>
      </c>
      <c r="E6" s="25" t="inlineStr">
        <is>
          <t>Manual</t>
        </is>
      </c>
      <c r="F6" s="26" t="inlineStr">
        <is>
          <t>Hook: 'Wait for it...' or 'POV: tonight's lock'</t>
        </is>
      </c>
    </row>
    <row r="7" ht="28" customHeight="1">
      <c r="A7" s="25" t="inlineStr">
        <is>
          <t>7:00 AM</t>
        </is>
      </c>
      <c r="B7" s="25" t="inlineStr">
        <is>
          <t>Twitter cron</t>
        </is>
      </c>
      <c r="C7" s="26" t="inlineStr">
        <is>
          <t>Daily AI pick + confidence %</t>
        </is>
      </c>
      <c r="D7" s="25" t="inlineStr">
        <is>
          <t>0</t>
        </is>
      </c>
      <c r="E7" s="36" t="inlineStr">
        <is>
          <t>Auto</t>
        </is>
      </c>
      <c r="F7" s="26" t="inlineStr">
        <is>
          <t>Once dev creds wired in (Day 5)</t>
        </is>
      </c>
    </row>
    <row r="8" ht="28" customHeight="1">
      <c r="A8" s="25" t="inlineStr">
        <is>
          <t>7:05 AM</t>
        </is>
      </c>
      <c r="B8" s="25" t="inlineStr">
        <is>
          <t>Instagram Reel</t>
        </is>
      </c>
      <c r="C8" s="26" t="inlineStr">
        <is>
          <t>Cross-post the 6am TikTok</t>
        </is>
      </c>
      <c r="D8" s="25" t="inlineStr">
        <is>
          <t>30 sec</t>
        </is>
      </c>
      <c r="E8" s="25" t="inlineStr">
        <is>
          <t>Manual</t>
        </is>
      </c>
      <c r="F8" s="26" t="inlineStr">
        <is>
          <t>Same vertical 1080×1920 file</t>
        </is>
      </c>
    </row>
    <row r="9" ht="28" customHeight="1">
      <c r="A9" s="25" t="inlineStr">
        <is>
          <t>7:10 AM</t>
        </is>
      </c>
      <c r="B9" s="25" t="inlineStr">
        <is>
          <t>YouTube Short</t>
        </is>
      </c>
      <c r="C9" s="26" t="inlineStr">
        <is>
          <t>Cross-post the 6am TikTok</t>
        </is>
      </c>
      <c r="D9" s="25" t="inlineStr">
        <is>
          <t>30 sec</t>
        </is>
      </c>
      <c r="E9" s="25" t="inlineStr">
        <is>
          <t>Manual</t>
        </is>
      </c>
      <c r="F9" s="26" t="inlineStr">
        <is>
          <t>Same file. Free distribution.</t>
        </is>
      </c>
    </row>
    <row r="10" ht="28" customHeight="1">
      <c r="A10" s="25" t="inlineStr">
        <is>
          <t>7:15 AM</t>
        </is>
      </c>
      <c r="B10" s="25" t="inlineStr">
        <is>
          <t>IG Story</t>
        </is>
      </c>
      <c r="C10" s="26" t="inlineStr">
        <is>
          <t>Sticker poll: 'over or under?'</t>
        </is>
      </c>
      <c r="D10" s="25" t="inlineStr">
        <is>
          <t>1 min</t>
        </is>
      </c>
      <c r="E10" s="25" t="inlineStr">
        <is>
          <t>Manual</t>
        </is>
      </c>
      <c r="F10" s="26" t="inlineStr">
        <is>
          <t>Engagement signal for the algo</t>
        </is>
      </c>
    </row>
    <row r="11" ht="28" customHeight="1">
      <c r="A11" s="25" t="inlineStr">
        <is>
          <t>8:00 AM</t>
        </is>
      </c>
      <c r="B11" s="25" t="inlineStr">
        <is>
          <t>Email cron</t>
        </is>
      </c>
      <c r="C11" s="26" t="inlineStr">
        <is>
          <t>Daily-pick email (with sweeps CTA)</t>
        </is>
      </c>
      <c r="D11" s="25" t="inlineStr">
        <is>
          <t>0</t>
        </is>
      </c>
      <c r="E11" s="36" t="inlineStr">
        <is>
          <t>Auto</t>
        </is>
      </c>
      <c r="F11" s="26" t="inlineStr">
        <is>
          <t>Already live in production</t>
        </is>
      </c>
    </row>
    <row r="12" ht="28" customHeight="1">
      <c r="A12" s="25" t="inlineStr">
        <is>
          <t>9:00 AM</t>
        </is>
      </c>
      <c r="B12" s="25" t="inlineStr">
        <is>
          <t>Twitter</t>
        </is>
      </c>
      <c r="C12" s="26" t="inlineStr">
        <is>
          <t>Reply-bomb 5 sports accounts with Pick1's probability</t>
        </is>
      </c>
      <c r="D12" s="25" t="inlineStr">
        <is>
          <t>10 min</t>
        </is>
      </c>
      <c r="E12" s="25" t="inlineStr">
        <is>
          <t>Manual</t>
        </is>
      </c>
      <c r="F12" s="26" t="inlineStr">
        <is>
          <t>★ Biggest free-reach lever you have. Pick top 5 from #NBA/#NFL TL</t>
        </is>
      </c>
    </row>
    <row r="13" ht="28" customHeight="1">
      <c r="A13" s="25" t="inlineStr">
        <is>
          <t>11:00 AM</t>
        </is>
      </c>
      <c r="B13" s="25" t="inlineStr">
        <is>
          <t>Reddit</t>
        </is>
      </c>
      <c r="C13" s="26" t="inlineStr">
        <is>
          <t>Value-add comment in r/sportsbook</t>
        </is>
      </c>
      <c r="D13" s="25" t="inlineStr">
        <is>
          <t>5 min</t>
        </is>
      </c>
      <c r="E13" s="25" t="inlineStr">
        <is>
          <t>Manual</t>
        </is>
      </c>
      <c r="F13" s="26" t="inlineStr">
        <is>
          <t>Never shill. Comment with insight; brand mentioned 1× max</t>
        </is>
      </c>
    </row>
    <row r="14" ht="28" customHeight="1">
      <c r="A14" s="25" t="inlineStr">
        <is>
          <t>12:00 PM</t>
        </is>
      </c>
      <c r="B14" s="25" t="inlineStr">
        <is>
          <t>TikTok</t>
        </is>
      </c>
      <c r="C14" s="26" t="inlineStr">
        <is>
          <t>📊 Yesterday's result reveal (30-sec receipts focus)</t>
        </is>
      </c>
      <c r="D14" s="25" t="inlineStr">
        <is>
          <t>5 min</t>
        </is>
      </c>
      <c r="E14" s="25" t="inlineStr">
        <is>
          <t>Manual</t>
        </is>
      </c>
      <c r="F14" s="26" t="inlineStr">
        <is>
          <t>Receipts &gt; picks. Trust = follower retention</t>
        </is>
      </c>
    </row>
    <row r="15" ht="28" customHeight="1">
      <c r="A15" s="25" t="inlineStr">
        <is>
          <t>12:05 PM</t>
        </is>
      </c>
      <c r="B15" s="25" t="inlineStr">
        <is>
          <t>Instagram Reel</t>
        </is>
      </c>
      <c r="C15" s="26" t="inlineStr">
        <is>
          <t>Cross-post the 12pm TikTok</t>
        </is>
      </c>
      <c r="D15" s="25" t="inlineStr">
        <is>
          <t>30 sec</t>
        </is>
      </c>
      <c r="E15" s="25" t="inlineStr">
        <is>
          <t>Manual</t>
        </is>
      </c>
      <c r="F15" s="26" t="inlineStr"/>
    </row>
    <row r="16" ht="28" customHeight="1">
      <c r="A16" s="25" t="inlineStr">
        <is>
          <t>12:10 PM</t>
        </is>
      </c>
      <c r="B16" s="25" t="inlineStr">
        <is>
          <t>YouTube Short</t>
        </is>
      </c>
      <c r="C16" s="26" t="inlineStr">
        <is>
          <t>Cross-post</t>
        </is>
      </c>
      <c r="D16" s="25" t="inlineStr">
        <is>
          <t>30 sec</t>
        </is>
      </c>
      <c r="E16" s="25" t="inlineStr">
        <is>
          <t>Manual</t>
        </is>
      </c>
      <c r="F16" s="26" t="inlineStr"/>
    </row>
    <row r="17" ht="28" customHeight="1">
      <c r="A17" s="25" t="inlineStr">
        <is>
          <t>12:30 PM</t>
        </is>
      </c>
      <c r="B17" s="25" t="inlineStr">
        <is>
          <t>Twitter</t>
        </is>
      </c>
      <c r="C17" s="26" t="inlineStr">
        <is>
          <t>Yesterday's result thread (5 tweets)</t>
        </is>
      </c>
      <c r="D17" s="25" t="inlineStr">
        <is>
          <t>5 min</t>
        </is>
      </c>
      <c r="E17" s="25" t="inlineStr">
        <is>
          <t>Manual</t>
        </is>
      </c>
      <c r="F17" s="26" t="inlineStr">
        <is>
          <t>Lead with the miss if there was one. Trust play.</t>
        </is>
      </c>
    </row>
    <row r="18" ht="28" customHeight="1">
      <c r="A18" s="25" t="inlineStr">
        <is>
          <t>1:00 PM</t>
        </is>
      </c>
      <c r="B18" s="25" t="inlineStr">
        <is>
          <t>Twitter</t>
        </is>
      </c>
      <c r="C18" s="26" t="inlineStr">
        <is>
          <t>Quote-tweet contrarian Vegas line</t>
        </is>
      </c>
      <c r="D18" s="25" t="inlineStr">
        <is>
          <t>2 min</t>
        </is>
      </c>
      <c r="E18" s="25" t="inlineStr">
        <is>
          <t>Manual</t>
        </is>
      </c>
      <c r="F18" s="26" t="inlineStr">
        <is>
          <t>Polite disagreement. Don't beef.</t>
        </is>
      </c>
    </row>
    <row r="19" ht="28" customHeight="1">
      <c r="A19" s="25" t="inlineStr">
        <is>
          <t>2:00 PM</t>
        </is>
      </c>
      <c r="B19" s="25" t="inlineStr">
        <is>
          <t>FB Page</t>
        </is>
      </c>
      <c r="C19" s="26" t="inlineStr">
        <is>
          <t>Auto-cross-post from morning IG</t>
        </is>
      </c>
      <c r="D19" s="25" t="inlineStr">
        <is>
          <t>0</t>
        </is>
      </c>
      <c r="E19" s="36" t="inlineStr">
        <is>
          <t>Auto</t>
        </is>
      </c>
      <c r="F19" s="26" t="inlineStr">
        <is>
          <t>Use IG's Meta Business Suite cross-post toggle</t>
        </is>
      </c>
    </row>
    <row r="20" ht="28" customHeight="1">
      <c r="A20" s="25" t="inlineStr">
        <is>
          <t>3:00 PM (Tue/Wed/Thu)</t>
        </is>
      </c>
      <c r="B20" s="25" t="inlineStr">
        <is>
          <t>LinkedIn (founder)</t>
        </is>
      </c>
      <c r="C20" s="26" t="inlineStr">
        <is>
          <t>Long-form take from Noa</t>
        </is>
      </c>
      <c r="D20" s="25" t="inlineStr">
        <is>
          <t>10 min</t>
        </is>
      </c>
      <c r="E20" s="25" t="inlineStr">
        <is>
          <t>Manual</t>
        </is>
      </c>
      <c r="F20" s="26" t="inlineStr">
        <is>
          <t>3×/week max. Algo punishes weekend posts.</t>
        </is>
      </c>
    </row>
    <row r="21" ht="28" customHeight="1">
      <c r="A21" s="25" t="inlineStr">
        <is>
          <t>4:00 PM</t>
        </is>
      </c>
      <c r="B21" s="25" t="inlineStr">
        <is>
          <t>Reddit</t>
        </is>
      </c>
      <c r="C21" s="26" t="inlineStr">
        <is>
          <t>1-2 more comments in r/nba / r/nfl / niche subs</t>
        </is>
      </c>
      <c r="D21" s="25" t="inlineStr">
        <is>
          <t>5 min</t>
        </is>
      </c>
      <c r="E21" s="25" t="inlineStr">
        <is>
          <t>Manual</t>
        </is>
      </c>
      <c r="F21" s="26" t="inlineStr"/>
    </row>
    <row r="22" ht="28" customHeight="1">
      <c r="A22" s="25" t="inlineStr">
        <is>
          <t>5:00 PM</t>
        </is>
      </c>
      <c r="B22" s="25" t="inlineStr">
        <is>
          <t>IG Story</t>
        </is>
      </c>
      <c r="C22" s="26" t="inlineStr">
        <is>
          <t>Pre-game live tracking begins</t>
        </is>
      </c>
      <c r="D22" s="25" t="inlineStr">
        <is>
          <t>1 min</t>
        </is>
      </c>
      <c r="E22" s="25" t="inlineStr">
        <is>
          <t>Manual</t>
        </is>
      </c>
      <c r="F22" s="26" t="inlineStr">
        <is>
          <t>BTS / 'Pick1 about to be tested live'</t>
        </is>
      </c>
    </row>
    <row r="23" ht="28" customHeight="1">
      <c r="A23" s="25" t="inlineStr">
        <is>
          <t>6:00 PM</t>
        </is>
      </c>
      <c r="B23" s="25" t="inlineStr">
        <is>
          <t>TikTok</t>
        </is>
      </c>
      <c r="C23" s="26" t="inlineStr">
        <is>
          <t>🔮 Game-day prep OR tomorrow's sneak peek</t>
        </is>
      </c>
      <c r="D23" s="25" t="inlineStr">
        <is>
          <t>5 min</t>
        </is>
      </c>
      <c r="E23" s="25" t="inlineStr">
        <is>
          <t>Manual</t>
        </is>
      </c>
      <c r="F23" s="26" t="inlineStr">
        <is>
          <t>Save sneak peek hook for low-engagement days</t>
        </is>
      </c>
    </row>
    <row r="24" ht="28" customHeight="1">
      <c r="A24" s="25" t="inlineStr">
        <is>
          <t>6:05 PM</t>
        </is>
      </c>
      <c r="B24" s="25" t="inlineStr">
        <is>
          <t>Instagram Reel</t>
        </is>
      </c>
      <c r="C24" s="26" t="inlineStr">
        <is>
          <t>Cross-post</t>
        </is>
      </c>
      <c r="D24" s="25" t="inlineStr">
        <is>
          <t>30 sec</t>
        </is>
      </c>
      <c r="E24" s="25" t="inlineStr">
        <is>
          <t>Manual</t>
        </is>
      </c>
      <c r="F24" s="26" t="inlineStr"/>
    </row>
    <row r="25" ht="28" customHeight="1">
      <c r="A25" s="25" t="inlineStr">
        <is>
          <t>7:00 PM</t>
        </is>
      </c>
      <c r="B25" s="25" t="inlineStr">
        <is>
          <t>Twitter</t>
        </is>
      </c>
      <c r="C25" s="26" t="inlineStr">
        <is>
          <t>Live game reactions during marquee match</t>
        </is>
      </c>
      <c r="D25" s="25" t="inlineStr">
        <is>
          <t>10 min</t>
        </is>
      </c>
      <c r="E25" s="25" t="inlineStr">
        <is>
          <t>Manual</t>
        </is>
      </c>
      <c r="F25" s="26" t="inlineStr">
        <is>
          <t>Real-time = algo priority. Don't miss.</t>
        </is>
      </c>
    </row>
    <row r="26" ht="28" customHeight="1">
      <c r="A26" s="25" t="inlineStr">
        <is>
          <t>9:00 PM</t>
        </is>
      </c>
      <c r="B26" s="25" t="inlineStr">
        <is>
          <t>TikTok</t>
        </is>
      </c>
      <c r="C26" s="26" t="inlineStr">
        <is>
          <t>🔥 Live reaction to key moment (if it happens)</t>
        </is>
      </c>
      <c r="D26" s="25" t="inlineStr">
        <is>
          <t>5 min</t>
        </is>
      </c>
      <c r="E26" s="25" t="inlineStr">
        <is>
          <t>Manual</t>
        </is>
      </c>
      <c r="F26" s="26" t="inlineStr">
        <is>
          <t>Trigger: any game with &gt;$100M wager handle</t>
        </is>
      </c>
    </row>
    <row r="27" ht="28" customHeight="1">
      <c r="A27" s="25" t="inlineStr">
        <is>
          <t>10:00 PM</t>
        </is>
      </c>
      <c r="B27" s="25" t="inlineStr">
        <is>
          <t>Twitter</t>
        </is>
      </c>
      <c r="C27" s="26" t="inlineStr">
        <is>
          <t>Night's results wrap</t>
        </is>
      </c>
      <c r="D27" s="25" t="inlineStr">
        <is>
          <t>3 min</t>
        </is>
      </c>
      <c r="E27" s="25" t="inlineStr">
        <is>
          <t>Manual</t>
        </is>
      </c>
      <c r="F27" s="26" t="inlineStr">
        <is>
          <t>Final tweet of the day = next day's setup</t>
        </is>
      </c>
    </row>
    <row r="28" ht="28" customHeight="1">
      <c r="A28" s="25" t="inlineStr">
        <is>
          <t>11:00 PM</t>
        </is>
      </c>
      <c r="B28" s="25" t="inlineStr">
        <is>
          <t>IG Story</t>
        </is>
      </c>
      <c r="C28" s="26" t="inlineStr">
        <is>
          <t>Tomorrow's preview teaser</t>
        </is>
      </c>
      <c r="D28" s="25" t="inlineStr">
        <is>
          <t>1 min</t>
        </is>
      </c>
      <c r="E28" s="25" t="inlineStr">
        <is>
          <t>Manual</t>
        </is>
      </c>
      <c r="F28" s="26" t="inlineStr">
        <is>
          <t>Keep loyal followers coming back tomorrow</t>
        </is>
      </c>
    </row>
    <row r="31" ht="22" customHeight="1">
      <c r="A31" s="37" t="inlineStr">
        <is>
          <t>REPURPOSING MATRIX — one piece, 6-8 outlets</t>
        </is>
      </c>
    </row>
    <row r="32" ht="24" customHeight="1">
      <c r="A32" s="6" t="inlineStr">
        <is>
          <t>Source content</t>
        </is>
      </c>
      <c r="B32" s="6" t="inlineStr">
        <is>
          <t>→ Outlet 1</t>
        </is>
      </c>
      <c r="C32" s="6" t="inlineStr">
        <is>
          <t>→ Outlet 2</t>
        </is>
      </c>
      <c r="D32" s="6" t="inlineStr">
        <is>
          <t>→ Outlet 3</t>
        </is>
      </c>
      <c r="E32" s="6" t="inlineStr">
        <is>
          <t>→ Outlet 4</t>
        </is>
      </c>
      <c r="F32" s="6" t="inlineStr">
        <is>
          <t>→ Outlet 5+</t>
        </is>
      </c>
    </row>
    <row r="33" ht="36" customHeight="1">
      <c r="A33" s="26" t="inlineStr">
        <is>
          <t>📹 1 TikTok (45 sec)</t>
        </is>
      </c>
      <c r="B33" s="26" t="inlineStr">
        <is>
          <t>IG Reel</t>
        </is>
      </c>
      <c r="C33" s="26" t="inlineStr">
        <is>
          <t>YouTube Short</t>
        </is>
      </c>
      <c r="D33" s="26" t="inlineStr">
        <is>
          <t>Twitter video</t>
        </is>
      </c>
      <c r="E33" s="26" t="inlineStr">
        <is>
          <t>FB Reel</t>
        </is>
      </c>
      <c r="F33" s="26" t="inlineStr">
        <is>
          <t>IG Story teaser + LinkedIn clip + quote-tweet</t>
        </is>
      </c>
    </row>
    <row r="34" ht="36" customHeight="1">
      <c r="A34" s="26" t="inlineStr">
        <is>
          <t>📊 1 IG Carousel (10 slides)</t>
        </is>
      </c>
      <c r="B34" s="26" t="inlineStr">
        <is>
          <t>Twitter thread (1 slide/tweet)</t>
        </is>
      </c>
      <c r="C34" s="26" t="inlineStr">
        <is>
          <t>LinkedIn carousel</t>
        </is>
      </c>
      <c r="D34" s="26" t="inlineStr">
        <is>
          <t>FB carousel</t>
        </is>
      </c>
      <c r="E34" s="26" t="inlineStr">
        <is>
          <t>IG Story sequence (4-5 stories)</t>
        </is>
      </c>
      <c r="F34" s="26" t="inlineStr">
        <is>
          <t>Substack newsletter + YT community post</t>
        </is>
      </c>
    </row>
    <row r="35" ht="36" customHeight="1">
      <c r="A35" s="26" t="inlineStr">
        <is>
          <t>📝 1 Twitter thread (20 tweets)</t>
        </is>
      </c>
      <c r="B35" s="26" t="inlineStr">
        <is>
          <t>Substack essay (consolidated)</t>
        </is>
      </c>
      <c r="C35" s="26" t="inlineStr">
        <is>
          <t>LinkedIn long-form</t>
        </is>
      </c>
      <c r="D35" s="26" t="inlineStr">
        <is>
          <t>IG carousel</t>
        </is>
      </c>
      <c r="E35" s="26" t="inlineStr">
        <is>
          <t>TikTok talking-head</t>
        </is>
      </c>
      <c r="F35" s="26" t="inlineStr">
        <is>
          <t>Email blast</t>
        </is>
      </c>
    </row>
    <row r="36" ht="36" customHeight="1">
      <c r="A36" s="26" t="inlineStr">
        <is>
          <t>📷 1 Branded image (lineup card)</t>
        </is>
      </c>
      <c r="B36" s="26" t="inlineStr">
        <is>
          <t>Twitter image post</t>
        </is>
      </c>
      <c r="C36" s="26" t="inlineStr">
        <is>
          <t>IG feed post</t>
        </is>
      </c>
      <c r="D36" s="26" t="inlineStr">
        <is>
          <t>IG Story</t>
        </is>
      </c>
      <c r="E36" s="26" t="inlineStr">
        <is>
          <t>FB post</t>
        </is>
      </c>
      <c r="F36" s="26" t="inlineStr">
        <is>
          <t>LinkedIn image + Reddit /r/sportsbook image</t>
        </is>
      </c>
    </row>
    <row r="37" ht="36" customHeight="1">
      <c r="A37" s="26" t="inlineStr">
        <is>
          <t>🎙️ 1 Twitter Space (60 min)</t>
        </is>
      </c>
      <c r="B37" s="26" t="inlineStr">
        <is>
          <t>Recap thread</t>
        </is>
      </c>
      <c r="C37" s="26" t="inlineStr">
        <is>
          <t>Clipped TikTok highlights</t>
        </is>
      </c>
      <c r="D37" s="26" t="inlineStr">
        <is>
          <t>Email recap</t>
        </is>
      </c>
      <c r="E37" s="26" t="inlineStr">
        <is>
          <t>Substack writeup</t>
        </is>
      </c>
      <c r="F37" s="26" t="inlineStr">
        <is>
          <t>Pinned on profile + boosted via X Premium</t>
        </is>
      </c>
    </row>
    <row r="40" ht="22" customHeight="1">
      <c r="A40" s="37" t="inlineStr">
        <is>
          <t>HASHTAG LIBRARY — copy-paste per platform</t>
        </is>
      </c>
    </row>
    <row r="41" ht="24" customHeight="1">
      <c r="A41" s="6" t="inlineStr">
        <is>
          <t>Platform</t>
        </is>
      </c>
      <c r="B41" s="6" t="inlineStr">
        <is>
          <t>Category</t>
        </is>
      </c>
      <c r="C41" s="6" t="inlineStr">
        <is>
          <t>Hashtags (copy-paste)</t>
        </is>
      </c>
    </row>
    <row r="42" ht="30" customHeight="1">
      <c r="A42" s="26" t="inlineStr">
        <is>
          <t>TikTok (3-5 per post)</t>
        </is>
      </c>
      <c r="B42" s="26" t="inlineStr">
        <is>
          <t>Wide reach</t>
        </is>
      </c>
      <c r="C42" s="38" t="inlineStr">
        <is>
          <t>#fyp #foryou #foryoupage #viral</t>
        </is>
      </c>
    </row>
    <row r="43" ht="30" customHeight="1">
      <c r="A43" s="26" t="inlineStr"/>
      <c r="B43" s="26" t="inlineStr">
        <is>
          <t>Sports general</t>
        </is>
      </c>
      <c r="C43" s="38" t="inlineStr">
        <is>
          <t>#sportstok #nbatok #nfltok #sportsbetting #parlay</t>
        </is>
      </c>
    </row>
    <row r="44" ht="30" customHeight="1">
      <c r="A44" s="26" t="inlineStr"/>
      <c r="B44" s="26" t="inlineStr">
        <is>
          <t>Sport-specific</t>
        </is>
      </c>
      <c r="C44" s="38" t="inlineStr">
        <is>
          <t>#nba #nfl #mlb #ufc #nhl #soccertok #worldcup #fifa</t>
        </is>
      </c>
    </row>
    <row r="45" ht="30" customHeight="1">
      <c r="A45" s="26" t="inlineStr"/>
      <c r="B45" s="26" t="inlineStr">
        <is>
          <t>Niche bettor</t>
        </is>
      </c>
      <c r="C45" s="38" t="inlineStr">
        <is>
          <t>#prizepicks #draftkings #fanduel #underdogfantasy</t>
        </is>
      </c>
    </row>
    <row r="46" ht="30" customHeight="1">
      <c r="A46" s="26" t="inlineStr"/>
      <c r="B46" s="26" t="inlineStr">
        <is>
          <t>AI angle</t>
        </is>
      </c>
      <c r="C46" s="38" t="inlineStr">
        <is>
          <t>#aitechnology #aitools #futuretech #aigeneration</t>
        </is>
      </c>
    </row>
    <row r="47" ht="30" customHeight="1">
      <c r="A47" s="26" t="inlineStr"/>
      <c r="B47" s="26" t="inlineStr">
        <is>
          <t>Custom brand</t>
        </is>
      </c>
      <c r="C47" s="38" t="inlineStr">
        <is>
          <t>#pick1 #beatpick1 #aisports #aisportsbetting</t>
        </is>
      </c>
    </row>
    <row r="48" ht="30" customHeight="1">
      <c r="A48" s="26" t="inlineStr">
        <is>
          <t>Instagram (15-25 per post)</t>
        </is>
      </c>
      <c r="B48" s="26" t="inlineStr">
        <is>
          <t>Stack all above plus:</t>
        </is>
      </c>
      <c r="C48" s="38" t="inlineStr">
        <is>
          <t>#bettingtips #bettingexpert #picksdaily #sportspicks #freenba #freenfl #sportsanalytics #parlayoftheday</t>
        </is>
      </c>
    </row>
    <row r="49" ht="30" customHeight="1">
      <c r="A49" s="26" t="inlineStr">
        <is>
          <t>Twitter/X (max 2 per post!)</t>
        </is>
      </c>
      <c r="B49" s="26" t="inlineStr">
        <is>
          <t>Use ONLY sport-specific:</t>
        </is>
      </c>
      <c r="C49" s="38" t="inlineStr">
        <is>
          <t>#NBA #NFL #NHL #WorldCup (etc.). Topical hashtags don't help on X anymore.</t>
        </is>
      </c>
    </row>
    <row r="50" ht="30" customHeight="1">
      <c r="A50" s="26" t="inlineStr">
        <is>
          <t>LinkedIn (3-5 per post)</t>
        </is>
      </c>
      <c r="B50" s="26" t="inlineStr">
        <is>
          <t>Professional angle</t>
        </is>
      </c>
      <c r="C50" s="38" t="inlineStr">
        <is>
          <t>#AI #MachineLearning #SportsTech #StartupLife #Founder</t>
        </is>
      </c>
    </row>
    <row r="51" ht="30" customHeight="1">
      <c r="A51" s="26" t="inlineStr">
        <is>
          <t>Reddit (no hashtags, but flair)</t>
        </is>
      </c>
      <c r="B51" s="26" t="inlineStr">
        <is>
          <t>—</t>
        </is>
      </c>
      <c r="C51" s="38" t="inlineStr">
        <is>
          <t>Use sub-specific post flair. Tag posts properly or get removed.</t>
        </is>
      </c>
    </row>
    <row r="54" ht="22" customHeight="1">
      <c r="A54" s="37" t="inlineStr">
        <is>
          <t>TIME-OF-DAY MAP (US sports audience, all times ET)</t>
        </is>
      </c>
    </row>
    <row r="55" ht="24" customHeight="1">
      <c r="A55" s="6" t="inlineStr">
        <is>
          <t>Platform</t>
        </is>
      </c>
      <c r="B55" s="6" t="inlineStr">
        <is>
          <t>Best post times</t>
        </is>
      </c>
      <c r="C55" s="6" t="inlineStr">
        <is>
          <t>Why</t>
        </is>
      </c>
    </row>
    <row r="56" ht="22" customHeight="1">
      <c r="A56" s="26" t="inlineStr">
        <is>
          <t>TikTok</t>
        </is>
      </c>
      <c r="B56" s="26" t="inlineStr">
        <is>
          <t>6-7am, 12-1pm, 6-8pm, 10-11pm</t>
        </is>
      </c>
      <c r="C56" s="26" t="inlineStr">
        <is>
          <t>Pre-coffee, lunch, post-work, pre-bed scrolls</t>
        </is>
      </c>
    </row>
    <row r="57" ht="22" customHeight="1">
      <c r="A57" s="26" t="inlineStr">
        <is>
          <t>IG Reels</t>
        </is>
      </c>
      <c r="B57" s="26" t="inlineStr">
        <is>
          <t>11am, 6pm</t>
        </is>
      </c>
      <c r="C57" s="26" t="inlineStr">
        <is>
          <t>IG's daily algo evaluation windows</t>
        </is>
      </c>
    </row>
    <row r="58" ht="22" customHeight="1">
      <c r="A58" s="26" t="inlineStr">
        <is>
          <t>IG Feed</t>
        </is>
      </c>
      <c r="B58" s="26" t="inlineStr">
        <is>
          <t>12pm, 7pm</t>
        </is>
      </c>
      <c r="C58" s="26" t="inlineStr">
        <is>
          <t>Lunch + dinner browse</t>
        </is>
      </c>
    </row>
    <row r="59" ht="22" customHeight="1">
      <c r="A59" s="26" t="inlineStr">
        <is>
          <t>IG Stories</t>
        </is>
      </c>
      <c r="B59" s="26" t="inlineStr">
        <is>
          <t>Any (always-on)</t>
        </is>
      </c>
      <c r="C59" s="26" t="inlineStr">
        <is>
          <t>Algo doesn't down-rank story timing</t>
        </is>
      </c>
    </row>
    <row r="60" ht="22" customHeight="1">
      <c r="A60" s="26" t="inlineStr">
        <is>
          <t>Twitter/X</t>
        </is>
      </c>
      <c r="B60" s="26" t="inlineStr">
        <is>
          <t>8-9am, 12pm, 5-6pm, 8-10pm</t>
        </is>
      </c>
      <c r="C60" s="26" t="inlineStr">
        <is>
          <t>Morning newsbite, lunch, commute, evening live-game</t>
        </is>
      </c>
    </row>
    <row r="61" ht="22" customHeight="1">
      <c r="A61" s="26" t="inlineStr">
        <is>
          <t>Facebook</t>
        </is>
      </c>
      <c r="B61" s="26" t="inlineStr">
        <is>
          <t>1pm, 8pm</t>
        </is>
      </c>
      <c r="C61" s="26" t="inlineStr">
        <is>
          <t>FB algo skews older audience</t>
        </is>
      </c>
    </row>
    <row r="62" ht="22" customHeight="1">
      <c r="A62" s="26" t="inlineStr">
        <is>
          <t>YouTube Shorts</t>
        </is>
      </c>
      <c r="B62" s="26" t="inlineStr">
        <is>
          <t>5-7pm, 9-10pm</t>
        </is>
      </c>
      <c r="C62" s="26" t="inlineStr">
        <is>
          <t>Evening watch session</t>
        </is>
      </c>
    </row>
    <row r="63" ht="22" customHeight="1">
      <c r="A63" s="26" t="inlineStr">
        <is>
          <t>LinkedIn</t>
        </is>
      </c>
      <c r="B63" s="26" t="inlineStr">
        <is>
          <t>7-9am Tue/Wed/Thu only</t>
        </is>
      </c>
      <c r="C63" s="26" t="inlineStr">
        <is>
          <t>Algo punishes weekend founder posts</t>
        </is>
      </c>
    </row>
    <row r="64" ht="22" customHeight="1">
      <c r="A64" s="26" t="inlineStr">
        <is>
          <t>Reddit</t>
        </is>
      </c>
      <c r="B64" s="26" t="inlineStr">
        <is>
          <t>8-11pm</t>
        </is>
      </c>
      <c r="C64" s="26" t="inlineStr">
        <is>
          <t>Peak browse hours for sports betting subs</t>
        </is>
      </c>
    </row>
  </sheetData>
  <mergeCells count="6">
    <mergeCell ref="A2:F2"/>
    <mergeCell ref="A54:F54"/>
    <mergeCell ref="A1:F1"/>
    <mergeCell ref="A31:F31"/>
    <mergeCell ref="A40:F40"/>
    <mergeCell ref="A4:F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7" customWidth="1" min="3" max="3"/>
    <col width="14" customWidth="1" min="4" max="4"/>
    <col width="26" customWidth="1" min="5" max="5"/>
    <col width="70" customWidth="1" min="6" max="6"/>
  </cols>
  <sheetData>
    <row r="1" ht="32" customHeight="1">
      <c r="A1" s="4" t="inlineStr">
        <is>
          <t>AGGRESSIVE TACTICS — 50 free moves ranked by ROI</t>
        </is>
      </c>
    </row>
    <row r="2" ht="36" customHeight="1">
      <c r="A2" s="12" t="inlineStr">
        <is>
          <t>Every move below: $0 spend. Listed by ROI (effort vs reach). Pick 10-15 that match your founder energy + audience. Execute daily. Tier 1 is highest leverage — do all of those. Tier 5 is guerrilla — pick 2-3 that fit.</t>
        </is>
      </c>
    </row>
    <row r="4" ht="24" customHeight="1">
      <c r="A4" s="6" t="inlineStr">
        <is>
          <t>#</t>
        </is>
      </c>
      <c r="B4" s="6" t="inlineStr">
        <is>
          <t>Tactic</t>
        </is>
      </c>
      <c r="C4" s="6" t="inlineStr">
        <is>
          <t>Tier</t>
        </is>
      </c>
      <c r="D4" s="6" t="inlineStr">
        <is>
          <t>Effort</t>
        </is>
      </c>
      <c r="E4" s="6" t="inlineStr">
        <is>
          <t>Expected reach</t>
        </is>
      </c>
      <c r="F4" s="6" t="inlineStr">
        <is>
          <t>How to execute</t>
        </is>
      </c>
    </row>
    <row r="5" ht="32" customHeight="1">
      <c r="A5" s="39" t="n">
        <v>1</v>
      </c>
      <c r="B5" s="25" t="inlineStr">
        <is>
          <t>Reply-bomb sports Twitter</t>
        </is>
      </c>
      <c r="C5" s="40" t="inlineStr">
        <is>
          <t>1</t>
        </is>
      </c>
      <c r="D5" s="39" t="inlineStr">
        <is>
          <t>10 min/day</t>
        </is>
      </c>
      <c r="E5" s="25" t="inlineStr">
        <is>
          <t>5K-50K imps/day</t>
        </is>
      </c>
      <c r="F5" s="26" t="inlineStr">
        <is>
          <t>Every morning, reply to top 5 #NBA/#NFL tweets with Pick1's pre-game probability.</t>
        </is>
      </c>
    </row>
    <row r="6" ht="32" customHeight="1">
      <c r="A6" s="39" t="n">
        <v>2</v>
      </c>
      <c r="B6" s="25" t="inlineStr">
        <is>
          <t>Trending sound jacking on TikTok</t>
        </is>
      </c>
      <c r="C6" s="40" t="inlineStr">
        <is>
          <t>1</t>
        </is>
      </c>
      <c r="D6" s="39" t="inlineStr">
        <is>
          <t>1 min/post</t>
        </is>
      </c>
      <c r="E6" s="25" t="inlineStr">
        <is>
          <t>10x algo boost</t>
        </is>
      </c>
      <c r="F6" s="26" t="inlineStr">
        <is>
          <t>Every TT uses a currently-trending sound. Check Tiktok's Creative Center daily.</t>
        </is>
      </c>
    </row>
    <row r="7" ht="32" customHeight="1">
      <c r="A7" s="39" t="n">
        <v>3</v>
      </c>
      <c r="B7" s="25" t="inlineStr">
        <is>
          <t>Tag athletes when relevant</t>
        </is>
      </c>
      <c r="C7" s="40" t="inlineStr">
        <is>
          <t>1</t>
        </is>
      </c>
      <c r="D7" s="39" t="inlineStr">
        <is>
          <t>30 sec/post</t>
        </is>
      </c>
      <c r="E7" s="25" t="inlineStr">
        <is>
          <t>100K-1M imps if athlete engages</t>
        </is>
      </c>
      <c r="F7" s="26" t="inlineStr">
        <is>
          <t>When Pick1 nails a player prop, tag the player. 1 like from athlete = millions of impressions.</t>
        </is>
      </c>
    </row>
    <row r="8" ht="32" customHeight="1">
      <c r="A8" s="39" t="n">
        <v>4</v>
      </c>
      <c r="B8" s="25" t="inlineStr">
        <is>
          <t>Tag sports media (Schefter, Woj, McAfee)</t>
        </is>
      </c>
      <c r="C8" s="40" t="inlineStr">
        <is>
          <t>1</t>
        </is>
      </c>
      <c r="D8" s="39" t="inlineStr">
        <is>
          <t>30 sec/post</t>
        </is>
      </c>
      <c r="E8" s="25" t="inlineStr">
        <is>
          <t>10K-1M imps</t>
        </is>
      </c>
      <c r="F8" s="26" t="inlineStr">
        <is>
          <t>When Pick1's prob matches a covered result, reply with screenshot tagging them.</t>
        </is>
      </c>
    </row>
    <row r="9" ht="32" customHeight="1">
      <c r="A9" s="39" t="n">
        <v>5</v>
      </c>
      <c r="B9" s="25" t="inlineStr">
        <is>
          <t>Quote-tweet contrarian Vegas takes</t>
        </is>
      </c>
      <c r="C9" s="40" t="inlineStr">
        <is>
          <t>1</t>
        </is>
      </c>
      <c r="D9" s="39" t="inlineStr">
        <is>
          <t>2 min/day</t>
        </is>
      </c>
      <c r="E9" s="25" t="inlineStr">
        <is>
          <t>5K-50K imps</t>
        </is>
      </c>
      <c r="F9" s="26" t="inlineStr">
        <is>
          <t>Polite disagreement = reach. When a tout posts a hot take, QT with Pick1's actual model.</t>
        </is>
      </c>
    </row>
    <row r="10" ht="32" customHeight="1">
      <c r="A10" s="39" t="n">
        <v>6</v>
      </c>
      <c r="B10" s="25" t="inlineStr">
        <is>
          <t>First-comment on big tweets</t>
        </is>
      </c>
      <c r="C10" s="40" t="inlineStr">
        <is>
          <t>1</t>
        </is>
      </c>
      <c r="D10" s="39" t="inlineStr">
        <is>
          <t>5 min/day</t>
        </is>
      </c>
      <c r="E10" s="25" t="inlineStr">
        <is>
          <t>5K-50K imps</t>
        </is>
      </c>
      <c r="F10" s="26" t="inlineStr">
        <is>
          <t>First reply under viral sports tweet often gets 10K+ impressions itself. Be fast.</t>
        </is>
      </c>
    </row>
    <row r="11" ht="32" customHeight="1">
      <c r="A11" s="39" t="n">
        <v>7</v>
      </c>
      <c r="B11" s="25" t="inlineStr">
        <is>
          <t>Twitter Spaces (host weekly)</t>
        </is>
      </c>
      <c r="C11" s="40" t="inlineStr">
        <is>
          <t>1</t>
        </is>
      </c>
      <c r="D11" s="39" t="inlineStr">
        <is>
          <t>60 min/wk</t>
        </is>
      </c>
      <c r="E11" s="25" t="inlineStr">
        <is>
          <t>30-100 live + recording reach</t>
        </is>
      </c>
      <c r="F11" s="26" t="inlineStr">
        <is>
          <t>Friday 8pm: 'Weekly Picks Review'. $0. Recurring audience.</t>
        </is>
      </c>
    </row>
    <row r="12" ht="32" customHeight="1">
      <c r="A12" s="39" t="n">
        <v>8</v>
      </c>
      <c r="B12" s="25" t="inlineStr">
        <is>
          <t>Streak content</t>
        </is>
      </c>
      <c r="C12" s="40" t="inlineStr">
        <is>
          <t>1</t>
        </is>
      </c>
      <c r="D12" s="39" t="inlineStr">
        <is>
          <t>1 min/day</t>
        </is>
      </c>
      <c r="E12" s="25" t="inlineStr">
        <is>
          <t>2K-10K imps/post</t>
        </is>
      </c>
      <c r="F12" s="26" t="inlineStr">
        <is>
          <t>Every Pick1 win extends the narrative. 'Pick1 is X-Y in the last Z days.' Update daily.</t>
        </is>
      </c>
    </row>
    <row r="13" ht="32" customHeight="1">
      <c r="A13" s="39" t="n">
        <v>9</v>
      </c>
      <c r="B13" s="25" t="inlineStr">
        <is>
          <t>Counter-bets to public consensus</t>
        </is>
      </c>
      <c r="C13" s="40" t="inlineStr">
        <is>
          <t>1</t>
        </is>
      </c>
      <c r="D13" s="39" t="inlineStr">
        <is>
          <t>5 min/post</t>
        </is>
      </c>
      <c r="E13" s="25" t="inlineStr">
        <is>
          <t>5K-30K imps</t>
        </is>
      </c>
      <c r="F13" s="26" t="inlineStr">
        <is>
          <t>Explicitly bet against the public. Document. Win or lose, content.</t>
        </is>
      </c>
    </row>
    <row r="14" ht="32" customHeight="1">
      <c r="A14" s="39" t="n">
        <v>10</v>
      </c>
      <c r="B14" s="25" t="inlineStr">
        <is>
          <t>Receipts-first content (own the misses)</t>
        </is>
      </c>
      <c r="C14" s="40" t="inlineStr">
        <is>
          <t>1</t>
        </is>
      </c>
      <c r="D14" s="39" t="inlineStr">
        <is>
          <t>5 min/loss</t>
        </is>
      </c>
      <c r="E14" s="25" t="inlineStr">
        <is>
          <t>Trust = follower retention</t>
        </is>
      </c>
      <c r="F14" s="26" t="inlineStr">
        <is>
          <t>Every wrong call gets its own owned-up post. 'We were wrong. Here's why.' Trust play.</t>
        </is>
      </c>
    </row>
    <row r="15" ht="32" customHeight="1">
      <c r="A15" s="39" t="n">
        <v>11</v>
      </c>
      <c r="B15" s="25" t="inlineStr">
        <is>
          <t>Tweetdeck alerts on key sports words</t>
        </is>
      </c>
      <c r="C15" s="41" t="inlineStr">
        <is>
          <t>2</t>
        </is>
      </c>
      <c r="D15" s="39" t="inlineStr">
        <is>
          <t>30 min setup</t>
        </is>
      </c>
      <c r="E15" s="25" t="inlineStr">
        <is>
          <t>Be FIRST on breaking news</t>
        </is>
      </c>
      <c r="F15" s="26" t="inlineStr">
        <is>
          <t>Set up X Pro alerts on: Schefter, Woj, McAfee, ESPN, Bleacher Report.</t>
        </is>
      </c>
    </row>
    <row r="16" ht="32" customHeight="1">
      <c r="A16" s="39" t="n">
        <v>12</v>
      </c>
      <c r="B16" s="25" t="inlineStr">
        <is>
          <t>Reddit value-add commenting</t>
        </is>
      </c>
      <c r="C16" s="41" t="inlineStr">
        <is>
          <t>2</t>
        </is>
      </c>
      <c r="D16" s="39" t="inlineStr">
        <is>
          <t>10 min/day</t>
        </is>
      </c>
      <c r="E16" s="25" t="inlineStr">
        <is>
          <t>Karma + brand affinity</t>
        </is>
      </c>
      <c r="F16" s="26" t="inlineStr">
        <is>
          <t>Be in r/sportsbook daily. Comment value, mention Pick1 1× max per 10 comments.</t>
        </is>
      </c>
    </row>
    <row r="17" ht="32" customHeight="1">
      <c r="A17" s="39" t="n">
        <v>13</v>
      </c>
      <c r="B17" s="25" t="inlineStr">
        <is>
          <t>YouTube comment trading</t>
        </is>
      </c>
      <c r="C17" s="41" t="inlineStr">
        <is>
          <t>2</t>
        </is>
      </c>
      <c r="D17" s="39" t="inlineStr">
        <is>
          <t>10 min/day</t>
        </is>
      </c>
      <c r="E17" s="25" t="inlineStr">
        <is>
          <t>10K-50K imps/comment if pinned</t>
        </is>
      </c>
      <c r="F17" s="26" t="inlineStr">
        <is>
          <t>Top 10 sports YT channels — drop value-add comments daily.</t>
        </is>
      </c>
    </row>
    <row r="18" ht="32" customHeight="1">
      <c r="A18" s="39" t="n">
        <v>14</v>
      </c>
      <c r="B18" s="25" t="inlineStr">
        <is>
          <t>DM 20 sports newsletter operators</t>
        </is>
      </c>
      <c r="C18" s="41" t="inlineStr">
        <is>
          <t>2</t>
        </is>
      </c>
      <c r="D18" s="39" t="inlineStr">
        <is>
          <t>2 hrs once</t>
        </is>
      </c>
      <c r="E18" s="25" t="inlineStr">
        <is>
          <t>1K-10K signups per inclusion</t>
        </is>
      </c>
      <c r="F18" s="26" t="inlineStr">
        <is>
          <t>'Free Pick1 tool' feature in their daily. $0 deal.</t>
        </is>
      </c>
    </row>
    <row r="19" ht="32" customHeight="1">
      <c r="A19" s="39" t="n">
        <v>15</v>
      </c>
      <c r="B19" s="25" t="inlineStr">
        <is>
          <t>DM 10 small podcast hosts</t>
        </is>
      </c>
      <c r="C19" s="41" t="inlineStr">
        <is>
          <t>2</t>
        </is>
      </c>
      <c r="D19" s="39" t="inlineStr">
        <is>
          <t>2 hrs once</t>
        </is>
      </c>
      <c r="E19" s="25" t="inlineStr">
        <is>
          <t>1K-10K listeners each</t>
        </is>
      </c>
      <c r="F19" s="26" t="inlineStr">
        <is>
          <t>Sports betting podcasts (1K-10K listeners). Offer founder for 30-min interview.</t>
        </is>
      </c>
    </row>
    <row r="20" ht="32" customHeight="1">
      <c r="A20" s="39" t="n">
        <v>16</v>
      </c>
      <c r="B20" s="25" t="inlineStr">
        <is>
          <t>TikTok duet-bait videos</t>
        </is>
      </c>
      <c r="C20" s="41" t="inlineStr">
        <is>
          <t>2</t>
        </is>
      </c>
      <c r="D20" s="39" t="inlineStr">
        <is>
          <t>5 min/post</t>
        </is>
      </c>
      <c r="E20" s="25" t="inlineStr">
        <is>
          <t>10x reach via duets</t>
        </is>
      </c>
      <c r="F20" s="26" t="inlineStr">
        <is>
          <t>'I bet $X on tonight's pick' → people duet with theirs. Each duet = free distribution.</t>
        </is>
      </c>
    </row>
    <row r="21" ht="32" customHeight="1">
      <c r="A21" s="39" t="n">
        <v>17</v>
      </c>
      <c r="B21" s="25" t="inlineStr">
        <is>
          <t>TikTok 'wait for it' hooks</t>
        </is>
      </c>
      <c r="C21" s="41" t="inlineStr">
        <is>
          <t>2</t>
        </is>
      </c>
      <c r="D21" s="39" t="inlineStr">
        <is>
          <t>0 (built-in)</t>
        </is>
      </c>
      <c r="E21" s="25" t="inlineStr">
        <is>
          <t>2-3x algo boost</t>
        </is>
      </c>
      <c r="F21" s="26" t="inlineStr">
        <is>
          <t>Every TT starts with 'Wait for it...' or 'POV:'. Algo loves.</t>
        </is>
      </c>
    </row>
    <row r="22" ht="32" customHeight="1">
      <c r="A22" s="39" t="n">
        <v>18</v>
      </c>
      <c r="B22" s="25" t="inlineStr">
        <is>
          <t>Comment-baiting captions</t>
        </is>
      </c>
      <c r="C22" s="41" t="inlineStr">
        <is>
          <t>2</t>
        </is>
      </c>
      <c r="D22" s="39" t="inlineStr">
        <is>
          <t>0 (built-in)</t>
        </is>
      </c>
      <c r="E22" s="25" t="inlineStr">
        <is>
          <t>Engagement signal</t>
        </is>
      </c>
      <c r="F22" s="26" t="inlineStr">
        <is>
          <t>'Drop a 🏀 if you're betting Knicks tonight'. Engagement = algo lift.</t>
        </is>
      </c>
    </row>
    <row r="23" ht="32" customHeight="1">
      <c r="A23" s="39" t="n">
        <v>19</v>
      </c>
      <c r="B23" s="25" t="inlineStr">
        <is>
          <t>Engagement pod with 3-5 indie founders</t>
        </is>
      </c>
      <c r="C23" s="41" t="inlineStr">
        <is>
          <t>2</t>
        </is>
      </c>
      <c r="D23" s="39" t="inlineStr">
        <is>
          <t>5 min/day</t>
        </is>
      </c>
      <c r="E23" s="25" t="inlineStr">
        <is>
          <t>First-hour boost</t>
        </is>
      </c>
      <c r="F23" s="26" t="inlineStr">
        <is>
          <t>Informal group that likes each other's posts in first hour. Critical for X/IG algo.</t>
        </is>
      </c>
    </row>
    <row r="24" ht="32" customHeight="1">
      <c r="A24" s="39" t="n">
        <v>20</v>
      </c>
      <c r="B24" s="25" t="inlineStr">
        <is>
          <t>Algorithm-friendly post lengths</t>
        </is>
      </c>
      <c r="C24" s="41" t="inlineStr">
        <is>
          <t>2</t>
        </is>
      </c>
      <c r="D24" s="39" t="inlineStr">
        <is>
          <t>0 (built-in)</t>
        </is>
      </c>
      <c r="E24" s="25" t="inlineStr">
        <is>
          <t>Higher completion %</t>
        </is>
      </c>
      <c r="F24" s="26" t="inlineStr">
        <is>
          <t>Twitter: 70-100 chars. TikTok: 30-60 sec. IG Reel: 15-30 sec.</t>
        </is>
      </c>
    </row>
    <row r="25" ht="32" customHeight="1">
      <c r="A25" s="39" t="n">
        <v>21</v>
      </c>
      <c r="B25" s="25" t="inlineStr">
        <is>
          <t>Confidence-card images</t>
        </is>
      </c>
      <c r="C25" s="42" t="inlineStr">
        <is>
          <t>3</t>
        </is>
      </c>
      <c r="D25" s="39" t="inlineStr">
        <is>
          <t>10 min/day</t>
        </is>
      </c>
      <c r="E25" s="25" t="inlineStr">
        <is>
          <t>Shareable as wallpaper</t>
        </is>
      </c>
      <c r="F25" s="26" t="inlineStr">
        <is>
          <t>Branded squares with tonight's confidence %. Native to share.</t>
        </is>
      </c>
    </row>
    <row r="26" ht="32" customHeight="1">
      <c r="A26" s="39" t="n">
        <v>22</v>
      </c>
      <c r="B26" s="25" t="inlineStr">
        <is>
          <t>Daily tracker screenshots</t>
        </is>
      </c>
      <c r="C26" s="42" t="inlineStr">
        <is>
          <t>3</t>
        </is>
      </c>
      <c r="D26" s="39" t="inlineStr">
        <is>
          <t>1 min/day</t>
        </is>
      </c>
      <c r="E26" s="25" t="inlineStr">
        <is>
          <t>Repeatable trust signal</t>
        </is>
      </c>
      <c r="F26" s="26" t="inlineStr">
        <is>
          <t>Every morning, post pick1.live/tracker showing the record.</t>
        </is>
      </c>
    </row>
    <row r="27" ht="32" customHeight="1">
      <c r="A27" s="39" t="n">
        <v>23</v>
      </c>
      <c r="B27" s="25" t="inlineStr">
        <is>
          <t>AI vs Vegas graphics</t>
        </is>
      </c>
      <c r="C27" s="42" t="inlineStr">
        <is>
          <t>3</t>
        </is>
      </c>
      <c r="D27" s="39" t="inlineStr">
        <is>
          <t>5 min/post</t>
        </is>
      </c>
      <c r="E27" s="25" t="inlineStr">
        <is>
          <t>Visual + repeatable</t>
        </is>
      </c>
      <c r="F27" s="26" t="inlineStr">
        <is>
          <t>Side-by-side: Vegas line vs Pick1 probability.</t>
        </is>
      </c>
    </row>
    <row r="28" ht="32" customHeight="1">
      <c r="A28" s="39" t="n">
        <v>24</v>
      </c>
      <c r="B28" s="25" t="inlineStr">
        <is>
          <t>Streak counters as graphics</t>
        </is>
      </c>
      <c r="C28" s="42" t="inlineStr">
        <is>
          <t>3</t>
        </is>
      </c>
      <c r="D28" s="39" t="inlineStr">
        <is>
          <t>2 min/day</t>
        </is>
      </c>
      <c r="E28" s="25" t="inlineStr">
        <is>
          <t>Daily content auto-generated</t>
        </is>
      </c>
      <c r="F28" s="26" t="inlineStr">
        <is>
          <t>Daily countdown of consecutive correct calls. Animatable too.</t>
        </is>
      </c>
    </row>
    <row r="29" ht="32" customHeight="1">
      <c r="A29" s="39" t="n">
        <v>25</v>
      </c>
      <c r="B29" s="25" t="inlineStr">
        <is>
          <t>'How Pick1 thinks' carousels</t>
        </is>
      </c>
      <c r="C29" s="42" t="inlineStr">
        <is>
          <t>3</t>
        </is>
      </c>
      <c r="D29" s="39" t="inlineStr">
        <is>
          <t>30 min/post (weekly)</t>
        </is>
      </c>
      <c r="E29" s="25" t="inlineStr">
        <is>
          <t>Educational + trust-building</t>
        </is>
      </c>
      <c r="F29" s="26" t="inlineStr">
        <is>
          <t>Walk through one pick's logic. IG carousel format.</t>
        </is>
      </c>
    </row>
    <row r="30" ht="32" customHeight="1">
      <c r="A30" s="39" t="n">
        <v>26</v>
      </c>
      <c r="B30" s="25" t="inlineStr">
        <is>
          <t>Pre-game vs post-game side-by-sides</t>
        </is>
      </c>
      <c r="C30" s="42" t="inlineStr">
        <is>
          <t>3</t>
        </is>
      </c>
      <c r="D30" s="39" t="inlineStr">
        <is>
          <t>5 min/post</t>
        </is>
      </c>
      <c r="E30" s="25" t="inlineStr">
        <is>
          <t>Receipts wall</t>
        </is>
      </c>
      <c r="F30" s="26" t="inlineStr">
        <is>
          <t>Pick1 said X, result was Y. Stack across the week.</t>
        </is>
      </c>
    </row>
    <row r="31" ht="32" customHeight="1">
      <c r="A31" s="39" t="n">
        <v>27</v>
      </c>
      <c r="B31" s="25" t="inlineStr">
        <is>
          <t>Player-prop callouts</t>
        </is>
      </c>
      <c r="C31" s="42" t="inlineStr">
        <is>
          <t>3</t>
        </is>
      </c>
      <c r="D31" s="39" t="inlineStr">
        <is>
          <t>5 min/post</t>
        </is>
      </c>
      <c r="E31" s="25" t="inlineStr">
        <is>
          <t>Athlete may engage</t>
        </is>
      </c>
      <c r="F31" s="26" t="inlineStr">
        <is>
          <t>Tag specific players when relevant.</t>
        </is>
      </c>
    </row>
    <row r="32" ht="32" customHeight="1">
      <c r="A32" s="39" t="n">
        <v>28</v>
      </c>
      <c r="B32" s="25" t="inlineStr">
        <is>
          <t>Sports-Twitter-bait takes</t>
        </is>
      </c>
      <c r="C32" s="42" t="inlineStr">
        <is>
          <t>3</t>
        </is>
      </c>
      <c r="D32" s="39" t="inlineStr">
        <is>
          <t>5 min/post</t>
        </is>
      </c>
      <c r="E32" s="25" t="inlineStr">
        <is>
          <t>Ratio'd by fans = free reach</t>
        </is>
      </c>
      <c r="F32" s="26" t="inlineStr">
        <is>
          <t>Sub-tweet popular bettor takes with model output. Designed to be ratio'd.</t>
        </is>
      </c>
    </row>
    <row r="33" ht="32" customHeight="1">
      <c r="A33" s="39" t="n">
        <v>29</v>
      </c>
      <c r="B33" s="25" t="inlineStr">
        <is>
          <t>Live game reactions</t>
        </is>
      </c>
      <c r="C33" s="42" t="inlineStr">
        <is>
          <t>3</t>
        </is>
      </c>
      <c r="D33" s="39" t="inlineStr">
        <is>
          <t>10 min/game</t>
        </is>
      </c>
      <c r="E33" s="25" t="inlineStr">
        <is>
          <t>Real-time algo priority</t>
        </is>
      </c>
      <c r="F33" s="26" t="inlineStr">
        <is>
          <t>React in real-time. TikTok + Twitter especially.</t>
        </is>
      </c>
    </row>
    <row r="34" ht="32" customHeight="1">
      <c r="A34" s="39" t="n">
        <v>30</v>
      </c>
      <c r="B34" s="25" t="inlineStr">
        <is>
          <t>End-of-night recap threads</t>
        </is>
      </c>
      <c r="C34" s="42" t="inlineStr">
        <is>
          <t>3</t>
        </is>
      </c>
      <c r="D34" s="39" t="inlineStr">
        <is>
          <t>5 min/night</t>
        </is>
      </c>
      <c r="E34" s="25" t="inlineStr">
        <is>
          <t>Trust + retention</t>
        </is>
      </c>
      <c r="F34" s="26" t="inlineStr">
        <is>
          <t>Every night, recap the day's calls in a Twitter thread.</t>
        </is>
      </c>
    </row>
    <row r="35" ht="32" customHeight="1">
      <c r="A35" s="39" t="n">
        <v>31</v>
      </c>
      <c r="B35" s="25" t="inlineStr">
        <is>
          <t>Reply to every DM within 1hr</t>
        </is>
      </c>
      <c r="C35" s="43" t="inlineStr">
        <is>
          <t>4</t>
        </is>
      </c>
      <c r="D35" s="39" t="inlineStr">
        <is>
          <t>Always-on</t>
        </is>
      </c>
      <c r="E35" s="25" t="inlineStr">
        <is>
          <t>Loyalty multiplier</t>
        </is>
      </c>
      <c r="F35" s="26" t="inlineStr">
        <is>
          <t>Loyalty multiplier. Sets retention pattern.</t>
        </is>
      </c>
    </row>
    <row r="36" ht="32" customHeight="1">
      <c r="A36" s="39" t="n">
        <v>32</v>
      </c>
      <c r="B36" s="25" t="inlineStr">
        <is>
          <t>Pin best community comments</t>
        </is>
      </c>
      <c r="C36" s="43" t="inlineStr">
        <is>
          <t>4</t>
        </is>
      </c>
      <c r="D36" s="39" t="inlineStr">
        <is>
          <t>1 min/day</t>
        </is>
      </c>
      <c r="E36" s="25" t="inlineStr">
        <is>
          <t>Reciprocity</t>
        </is>
      </c>
      <c r="F36" s="26" t="inlineStr">
        <is>
          <t>Make commenters feel seen. They post more.</t>
        </is>
      </c>
    </row>
    <row r="37" ht="32" customHeight="1">
      <c r="A37" s="39" t="n">
        <v>33</v>
      </c>
      <c r="B37" s="25" t="inlineStr">
        <is>
          <t>Weekly 'best community pick' feature</t>
        </is>
      </c>
      <c r="C37" s="43" t="inlineStr">
        <is>
          <t>4</t>
        </is>
      </c>
      <c r="D37" s="39" t="inlineStr">
        <is>
          <t>5 min/wk</t>
        </is>
      </c>
      <c r="E37" s="25" t="inlineStr">
        <is>
          <t>Reciprocity</t>
        </is>
      </c>
      <c r="F37" s="26" t="inlineStr">
        <is>
          <t>Spotlight a follower's pick on Pick1's account.</t>
        </is>
      </c>
    </row>
    <row r="38" ht="32" customHeight="1">
      <c r="A38" s="39" t="n">
        <v>34</v>
      </c>
      <c r="B38" s="25" t="inlineStr">
        <is>
          <t>Birthday DMs to top engagers</t>
        </is>
      </c>
      <c r="C38" s="43" t="inlineStr">
        <is>
          <t>4</t>
        </is>
      </c>
      <c r="D38" s="39" t="inlineStr">
        <is>
          <t>5 min/day</t>
        </is>
      </c>
      <c r="E38" s="25" t="inlineStr">
        <is>
          <t>Cheap loyalty</t>
        </is>
      </c>
      <c r="F38" s="26" t="inlineStr">
        <is>
          <t>Pulled from analytics. Personal touch.</t>
        </is>
      </c>
    </row>
    <row r="39" ht="32" customHeight="1">
      <c r="A39" s="39" t="n">
        <v>35</v>
      </c>
      <c r="B39" s="25" t="inlineStr">
        <is>
          <t>Friday AMA on X Spaces</t>
        </is>
      </c>
      <c r="C39" s="43" t="inlineStr">
        <is>
          <t>4</t>
        </is>
      </c>
      <c r="D39" s="39" t="inlineStr">
        <is>
          <t>30 min/wk</t>
        </is>
      </c>
      <c r="E39" s="25" t="inlineStr">
        <is>
          <t>30-100 live attendees</t>
        </is>
      </c>
      <c r="F39" s="26" t="inlineStr">
        <is>
          <t>Builds audience. $0.</t>
        </is>
      </c>
    </row>
    <row r="40" ht="32" customHeight="1">
      <c r="A40" s="39" t="n">
        <v>36</v>
      </c>
      <c r="B40" s="25" t="inlineStr">
        <is>
          <t>Discord crashing (other servers)</t>
        </is>
      </c>
      <c r="C40" s="43" t="inlineStr">
        <is>
          <t>4</t>
        </is>
      </c>
      <c r="D40" s="39" t="inlineStr">
        <is>
          <t>30 min/wk</t>
        </is>
      </c>
      <c r="E40" s="25" t="inlineStr">
        <is>
          <t>Targeted audience</t>
        </is>
      </c>
      <c r="F40" s="26" t="inlineStr">
        <is>
          <t>Be in betting Discords, add value, mention Pick1 occasionally.</t>
        </is>
      </c>
    </row>
    <row r="41" ht="32" customHeight="1">
      <c r="A41" s="39" t="n">
        <v>37</v>
      </c>
      <c r="B41" s="25" t="inlineStr">
        <is>
          <t>Telegram channel value-bombing</t>
        </is>
      </c>
      <c r="C41" s="43" t="inlineStr">
        <is>
          <t>4</t>
        </is>
      </c>
      <c r="D41" s="39" t="inlineStr">
        <is>
          <t>30 min/wk</t>
        </is>
      </c>
      <c r="E41" s="25" t="inlineStr">
        <is>
          <t>Niche but engaged</t>
        </is>
      </c>
      <c r="F41" s="26" t="inlineStr">
        <is>
          <t>Same in sports betting Telegram groups.</t>
        </is>
      </c>
    </row>
    <row r="42" ht="32" customHeight="1">
      <c r="A42" s="39" t="n">
        <v>38</v>
      </c>
      <c r="B42" s="25" t="inlineStr">
        <is>
          <t>Sports forum posts (Covers, SBR, BetPop)</t>
        </is>
      </c>
      <c r="C42" s="43" t="inlineStr">
        <is>
          <t>4</t>
        </is>
      </c>
      <c r="D42" s="39" t="inlineStr">
        <is>
          <t>30 min/wk</t>
        </is>
      </c>
      <c r="E42" s="25" t="inlineStr">
        <is>
          <t>Old-school but loyal</t>
        </is>
      </c>
      <c r="F42" s="26" t="inlineStr">
        <is>
          <t>One value-add post/week per forum.</t>
        </is>
      </c>
    </row>
    <row r="43" ht="32" customHeight="1">
      <c r="A43" s="39" t="n">
        <v>39</v>
      </c>
      <c r="B43" s="25" t="inlineStr">
        <is>
          <t>Reddit AMA in r/sportsbook (Day 16-18)</t>
        </is>
      </c>
      <c r="C43" s="43" t="inlineStr">
        <is>
          <t>4</t>
        </is>
      </c>
      <c r="D43" s="39" t="inlineStr">
        <is>
          <t>60 min once</t>
        </is>
      </c>
      <c r="E43" s="25" t="inlineStr">
        <is>
          <t>5K-50K signups</t>
        </is>
      </c>
      <c r="F43" s="26" t="inlineStr">
        <is>
          <t>Schedule one for late campaign. Pre-coordinate with mods.</t>
        </is>
      </c>
    </row>
    <row r="44" ht="32" customHeight="1">
      <c r="A44" s="39" t="n">
        <v>40</v>
      </c>
      <c r="B44" s="25" t="inlineStr">
        <is>
          <t>Twitter Circle/Close Friends list</t>
        </is>
      </c>
      <c r="C44" s="43" t="inlineStr">
        <is>
          <t>4</t>
        </is>
      </c>
      <c r="D44" s="39" t="inlineStr">
        <is>
          <t>Always-on</t>
        </is>
      </c>
      <c r="E44" s="25" t="inlineStr">
        <is>
          <t>Loyalty hack</t>
        </is>
      </c>
      <c r="F44" s="26" t="inlineStr">
        <is>
          <t>Give 100 most engaged an exclusive list. Loyalty signal.</t>
        </is>
      </c>
    </row>
    <row r="45" ht="32" customHeight="1">
      <c r="A45" s="39" t="n">
        <v>41</v>
      </c>
      <c r="B45" s="25" t="inlineStr">
        <is>
          <t>Live-tweet from sportsbook reply sections</t>
        </is>
      </c>
      <c r="C45" s="44" t="inlineStr">
        <is>
          <t>5</t>
        </is>
      </c>
      <c r="D45" s="39" t="inlineStr">
        <is>
          <t>10 min/day</t>
        </is>
      </c>
      <c r="E45" s="25" t="inlineStr">
        <is>
          <t>Targeted</t>
        </is>
      </c>
      <c r="F45" s="26" t="inlineStr">
        <is>
          <t>Be everywhere a sportsbook tweets. Reply with Pick1's model output.</t>
        </is>
      </c>
    </row>
    <row r="46" ht="32" customHeight="1">
      <c r="A46" s="39" t="n">
        <v>42</v>
      </c>
      <c r="B46" s="25" t="inlineStr">
        <is>
          <t>Athlete birthday tweets</t>
        </is>
      </c>
      <c r="C46" s="44" t="inlineStr">
        <is>
          <t>5</t>
        </is>
      </c>
      <c r="D46" s="39" t="inlineStr">
        <is>
          <t>5 min/day</t>
        </is>
      </c>
      <c r="E46" s="25" t="inlineStr">
        <is>
          <t>Sometimes athlete replies</t>
        </is>
      </c>
      <c r="F46" s="26" t="inlineStr">
        <is>
          <t>Tag athletes on birthdays with their Pick1 stats. Sometimes go viral.</t>
        </is>
      </c>
    </row>
    <row r="47" ht="32" customHeight="1">
      <c r="A47" s="39" t="n">
        <v>43</v>
      </c>
      <c r="B47" s="25" t="inlineStr">
        <is>
          <t>Sports anniversary tweets</t>
        </is>
      </c>
      <c r="C47" s="44" t="inlineStr">
        <is>
          <t>5</t>
        </is>
      </c>
      <c r="D47" s="39" t="inlineStr">
        <is>
          <t>5 min/wk</t>
        </is>
      </c>
      <c r="E47" s="25" t="inlineStr">
        <is>
          <t>Niche viral potential</t>
        </is>
      </c>
      <c r="F47" s="26" t="inlineStr">
        <is>
          <t>'X years ago today' with Pick1's retroactive probability.</t>
        </is>
      </c>
    </row>
    <row r="48" ht="32" customHeight="1">
      <c r="A48" s="39" t="n">
        <v>44</v>
      </c>
      <c r="B48" s="25" t="inlineStr">
        <is>
          <t>Riding viral threads</t>
        </is>
      </c>
      <c r="C48" s="44" t="inlineStr">
        <is>
          <t>5</t>
        </is>
      </c>
      <c r="D48" s="39" t="inlineStr">
        <is>
          <t>Reactive</t>
        </is>
      </c>
      <c r="E48" s="25" t="inlineStr">
        <is>
          <t>Free if you hit it</t>
        </is>
      </c>
      <c r="F48" s="26" t="inlineStr">
        <is>
          <t>When sports thread goes viral, drop into replies with Pick1 data.</t>
        </is>
      </c>
    </row>
    <row r="49" ht="32" customHeight="1">
      <c r="A49" s="39" t="n">
        <v>45</v>
      </c>
      <c r="B49" s="25" t="inlineStr">
        <is>
          <t>'What does the model say' reply template</t>
        </is>
      </c>
      <c r="C49" s="44" t="inlineStr">
        <is>
          <t>5</t>
        </is>
      </c>
      <c r="D49" s="39" t="inlineStr">
        <is>
          <t>30 min setup</t>
        </is>
      </c>
      <c r="E49" s="25" t="inlineStr">
        <is>
          <t>Builds anticipation</t>
        </is>
      </c>
      <c r="F49" s="26" t="inlineStr">
        <is>
          <t>Saved reply that fires when someone asks about a game.</t>
        </is>
      </c>
    </row>
    <row r="50" ht="32" customHeight="1">
      <c r="A50" s="39" t="n">
        <v>46</v>
      </c>
      <c r="B50" s="25" t="inlineStr">
        <is>
          <t>Custom Pick1-win GIFs in reply</t>
        </is>
      </c>
      <c r="C50" s="44" t="inlineStr">
        <is>
          <t>5</t>
        </is>
      </c>
      <c r="D50" s="39" t="inlineStr">
        <is>
          <t>1 hr design</t>
        </is>
      </c>
      <c r="E50" s="25" t="inlineStr">
        <is>
          <t>Memorable replies</t>
        </is>
      </c>
      <c r="F50" s="26" t="inlineStr">
        <is>
          <t>Drop them in Twitter replies when relevant.</t>
        </is>
      </c>
    </row>
    <row r="51" ht="32" customHeight="1">
      <c r="A51" s="39" t="n">
        <v>47</v>
      </c>
      <c r="B51" s="25" t="inlineStr">
        <is>
          <t>Submit custom emojis to communities</t>
        </is>
      </c>
      <c r="C51" s="44" t="inlineStr">
        <is>
          <t>5</t>
        </is>
      </c>
      <c r="D51" s="39" t="inlineStr">
        <is>
          <t>30 min total</t>
        </is>
      </c>
      <c r="E51" s="25" t="inlineStr">
        <is>
          <t>Brand affinity</t>
        </is>
      </c>
      <c r="F51" s="26" t="inlineStr">
        <is>
          <t>'Pick1 win' / 'Pick1 loss' emojis to relevant Discords/Slacks.</t>
        </is>
      </c>
    </row>
    <row r="52" ht="32" customHeight="1">
      <c r="A52" s="39" t="n">
        <v>48</v>
      </c>
      <c r="B52" s="25" t="inlineStr">
        <is>
          <t>Pre-made meme stockpile</t>
        </is>
      </c>
      <c r="C52" s="44" t="inlineStr">
        <is>
          <t>5</t>
        </is>
      </c>
      <c r="D52" s="39" t="inlineStr">
        <is>
          <t>2 hrs once</t>
        </is>
      </c>
      <c r="E52" s="25" t="inlineStr">
        <is>
          <t>Cheap virality</t>
        </is>
      </c>
      <c r="F52" s="26" t="inlineStr">
        <is>
          <t>5-10 memes ready to fire when sports media has bad take.</t>
        </is>
      </c>
    </row>
    <row r="53" ht="32" customHeight="1">
      <c r="A53" s="39" t="n">
        <v>49</v>
      </c>
      <c r="B53" s="25" t="inlineStr">
        <is>
          <t>Reaction reels to viral betting fails</t>
        </is>
      </c>
      <c r="C53" s="44" t="inlineStr">
        <is>
          <t>5</t>
        </is>
      </c>
      <c r="D53" s="39" t="inlineStr">
        <is>
          <t>5 min/reactive</t>
        </is>
      </c>
      <c r="E53" s="25" t="inlineStr">
        <is>
          <t>Trust contrast</t>
        </is>
      </c>
      <c r="F53" s="26" t="inlineStr">
        <is>
          <t>When a tout fails publicly, react with Pick1's actual call.</t>
        </is>
      </c>
    </row>
    <row r="54" ht="32" customHeight="1">
      <c r="A54" s="39" t="n">
        <v>50</v>
      </c>
      <c r="B54" s="25" t="inlineStr">
        <is>
          <t>'This account uses Pick1' badge program</t>
        </is>
      </c>
      <c r="C54" s="44" t="inlineStr">
        <is>
          <t>5</t>
        </is>
      </c>
      <c r="D54" s="39" t="inlineStr">
        <is>
          <t>1 hr setup</t>
        </is>
      </c>
      <c r="E54" s="25" t="inlineStr">
        <is>
          <t>Tiny but additive</t>
        </is>
      </c>
      <c r="F54" s="26" t="inlineStr">
        <is>
          <t>Give 100 micro-creators a Pick1 verification badge for bio.</t>
        </is>
      </c>
    </row>
    <row r="57" ht="32" customHeight="1">
      <c r="A57" s="4" t="inlineStr">
        <is>
          <t>CMO FINAL CALL — if you can only pick 5</t>
        </is>
      </c>
    </row>
    <row r="58" ht="38" customHeight="1">
      <c r="A58" s="27" t="inlineStr">
        <is>
          <t>1. Triple TikTok output (2 → 6 per day)</t>
        </is>
      </c>
      <c r="B58" s="26" t="inlineStr">
        <is>
          <t>Single biggest gap. Each extra TT = $0 cost, fresh FYP shot. Cap at 6 to avoid throttle.</t>
        </is>
      </c>
    </row>
    <row r="59" ht="38" customHeight="1">
      <c r="A59" s="27" t="inlineStr">
        <is>
          <t>2. Reply-bomb sports Twitter every morning</t>
        </is>
      </c>
      <c r="B59" s="26" t="inlineStr">
        <is>
          <t>10 min, free, biggest raw-reach lever you have. Sets daily algorithmic momentum.</t>
        </is>
      </c>
    </row>
    <row r="60" ht="38" customHeight="1">
      <c r="A60" s="27" t="inlineStr">
        <is>
          <t>3. Trade Lifetime Pro for 30+ micro-influencer shoutouts</t>
        </is>
      </c>
      <c r="B60" s="26" t="inlineStr">
        <is>
          <t>Not 20 — 30+. Volume strategy. Each in-kind trade = $0, ~$500 of bought equivalent.</t>
        </is>
      </c>
    </row>
    <row r="61" ht="38" customHeight="1">
      <c r="A61" s="27" t="inlineStr">
        <is>
          <t>4. Daily mini-sweeps stacked on Gleam (Mon-Sun)</t>
        </is>
      </c>
      <c r="B61" s="26" t="inlineStr">
        <is>
          <t>$75/week, 50K-500K additional impressions. Fresh hook for each day's content.</t>
        </is>
      </c>
    </row>
    <row r="62" ht="38" customHeight="1">
      <c r="A62" s="27" t="inlineStr">
        <is>
          <t>5. Weekly Twitter Space on Friday 8pm ET</t>
        </is>
      </c>
      <c r="B62" s="26" t="inlineStr">
        <is>
          <t>$0, recurring 30-100 live attendees who compound into loyal followers.</t>
        </is>
      </c>
    </row>
  </sheetData>
  <mergeCells count="8">
    <mergeCell ref="A2:F2"/>
    <mergeCell ref="B62:F62"/>
    <mergeCell ref="A1:F1"/>
    <mergeCell ref="B59:F59"/>
    <mergeCell ref="B60:F60"/>
    <mergeCell ref="B61:F61"/>
    <mergeCell ref="B58:F58"/>
    <mergeCell ref="A57:F5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1" customWidth="1" min="3" max="3"/>
    <col width="22" customWidth="1" min="4" max="4"/>
    <col width="18" customWidth="1" min="5" max="5"/>
    <col width="50" customWidth="1" min="6" max="6"/>
  </cols>
  <sheetData>
    <row r="1" ht="32" customHeight="1">
      <c r="A1" s="4" t="inlineStr">
        <is>
          <t>$25K ACTIVE BUDGET — current plan (authorized Day 2, May 14)</t>
        </is>
      </c>
    </row>
    <row r="2" ht="38" customHeight="1">
      <c r="A2" s="12" t="inlineStr">
        <is>
          <t>Total: $25,000 over 17 days (~$1,470/day). Expected: 8K-15K signups, 5K-15K IG followers, 8K-20K TikTok, 3-5 mid press, 2-4 viral pieces. Companion doc: launch/AT_25K.md</t>
        </is>
      </c>
    </row>
    <row r="4" ht="28" customHeight="1">
      <c r="A4" s="45" t="inlineStr">
        <is>
          <t>🚨 IMMEDIATE FIRST MOVES — tonight (~10 min)</t>
        </is>
      </c>
    </row>
    <row r="5" ht="26" customHeight="1">
      <c r="A5" s="46" t="inlineStr">
        <is>
          <t>1.</t>
        </is>
      </c>
      <c r="B5" s="26" t="inlineStr">
        <is>
          <t>Upgrade Gleam to Hobby plan — $39 — at https://gleam.io/billing</t>
        </is>
      </c>
    </row>
    <row r="6" ht="26" customHeight="1">
      <c r="A6" s="46" t="inlineStr">
        <is>
          <t>2.</t>
        </is>
      </c>
      <c r="B6" s="26" t="inlineStr">
        <is>
          <t>Reply 'done' so Claude can autonomously upload hero image + add Viral Share + Visit-a-Page (TT/X) + Question entry</t>
        </is>
      </c>
    </row>
    <row r="7" ht="26" customHeight="1">
      <c r="A7" s="46" t="inlineStr">
        <is>
          <t>3.</t>
        </is>
      </c>
      <c r="B7" s="26" t="inlineStr">
        <is>
          <t>Authorize Meta Ads payment method (Campaign 1 already set up at $50/day; scale to $350/day tomorrow morning)</t>
        </is>
      </c>
    </row>
    <row r="9" ht="22" customHeight="1">
      <c r="A9" s="37" t="inlineStr">
        <is>
          <t>BUDGET BREAKDOWN — where every dollar goes</t>
        </is>
      </c>
    </row>
    <row r="10" ht="24" customHeight="1">
      <c r="A10" s="6" t="inlineStr">
        <is>
          <t>Category</t>
        </is>
      </c>
      <c r="B10" s="6" t="inlineStr">
        <is>
          <t>Line item</t>
        </is>
      </c>
      <c r="C10" s="6" t="inlineStr">
        <is>
          <t>$ amount</t>
        </is>
      </c>
      <c r="D10" s="6" t="inlineStr">
        <is>
          <t>Cadence</t>
        </is>
      </c>
      <c r="E10" s="6" t="inlineStr">
        <is>
          <t>Status</t>
        </is>
      </c>
      <c r="F10" s="6" t="inlineStr">
        <is>
          <t>Notes</t>
        </is>
      </c>
    </row>
    <row r="11" ht="28" customHeight="1">
      <c r="A11" s="13" t="inlineStr">
        <is>
          <t>[PAID SOCIAL]</t>
        </is>
      </c>
      <c r="B11" s="13" t="inlineStr"/>
      <c r="C11" s="15" t="inlineStr"/>
      <c r="D11" s="15" t="inlineStr"/>
      <c r="E11" s="13" t="inlineStr"/>
      <c r="F11" s="14" t="inlineStr"/>
    </row>
    <row r="12" ht="28" customHeight="1">
      <c r="A12" s="25" t="inlineStr">
        <is>
          <t>Paid social</t>
        </is>
      </c>
      <c r="B12" s="25" t="inlineStr">
        <is>
          <t>Meta Ads — cold (Pixel-validated)</t>
        </is>
      </c>
      <c r="C12" s="47" t="n">
        <v>6000</v>
      </c>
      <c r="D12" s="39" t="inlineStr">
        <is>
          <t>$353/day × 17</t>
        </is>
      </c>
      <c r="E12" s="25" t="inlineStr">
        <is>
          <t>Pending auth</t>
        </is>
      </c>
      <c r="F12" s="26" t="inlineStr">
        <is>
          <t>At $1.50 CPL = 4K signups</t>
        </is>
      </c>
    </row>
    <row r="13" ht="28" customHeight="1">
      <c r="A13" s="25" t="inlineStr">
        <is>
          <t>Paid social</t>
        </is>
      </c>
      <c r="B13" s="25" t="inlineStr">
        <is>
          <t>Meta Ads — retargeting</t>
        </is>
      </c>
      <c r="C13" s="47" t="n">
        <v>2500</v>
      </c>
      <c r="D13" s="39" t="inlineStr">
        <is>
          <t>$147/day × 17</t>
        </is>
      </c>
      <c r="E13" s="25" t="inlineStr">
        <is>
          <t>Pending auth</t>
        </is>
      </c>
      <c r="F13" s="26" t="inlineStr">
        <is>
          <t>3-7× lower CPL. Burns hot.</t>
        </is>
      </c>
    </row>
    <row r="14" ht="28" customHeight="1">
      <c r="A14" s="25" t="inlineStr">
        <is>
          <t>Paid social</t>
        </is>
      </c>
      <c r="B14" s="25" t="inlineStr">
        <is>
          <t>TikTok Spark Ads</t>
        </is>
      </c>
      <c r="C14" s="47" t="n">
        <v>3000</v>
      </c>
      <c r="D14" s="39" t="inlineStr">
        <is>
          <t>Reactive on &gt;50K Reels</t>
        </is>
      </c>
      <c r="E14" s="25" t="inlineStr">
        <is>
          <t>Pending setup</t>
        </is>
      </c>
      <c r="F14" s="26" t="inlineStr">
        <is>
          <t>Only boost organic winners. $3K cap.</t>
        </is>
      </c>
    </row>
    <row r="15" ht="28" customHeight="1">
      <c r="A15" s="18" t="inlineStr">
        <is>
          <t xml:space="preserve">  → Subtotal</t>
        </is>
      </c>
      <c r="B15" s="18" t="inlineStr">
        <is>
          <t>Paid social</t>
        </is>
      </c>
      <c r="C15" s="20" t="n">
        <v>11500</v>
      </c>
      <c r="D15" s="48" t="inlineStr"/>
      <c r="E15" s="18" t="inlineStr"/>
      <c r="F15" s="19" t="inlineStr">
        <is>
          <t>~6-10K signups</t>
        </is>
      </c>
    </row>
    <row r="16" ht="28" customHeight="1">
      <c r="A16" s="13" t="inlineStr">
        <is>
          <t>[INFLUENCER]</t>
        </is>
      </c>
      <c r="B16" s="13" t="inlineStr"/>
      <c r="C16" s="15" t="inlineStr"/>
      <c r="D16" s="15" t="inlineStr"/>
      <c r="E16" s="13" t="inlineStr"/>
      <c r="F16" s="14" t="inlineStr"/>
    </row>
    <row r="17" ht="28" customHeight="1">
      <c r="A17" s="25" t="inlineStr">
        <is>
          <t>Influencer</t>
        </is>
      </c>
      <c r="B17" s="25" t="inlineStr">
        <is>
          <t>1 × mid-tier sports creator (300-500K)</t>
        </is>
      </c>
      <c r="C17" s="47" t="n">
        <v>3000</v>
      </c>
      <c r="D17" s="39" t="inlineStr">
        <is>
          <t>One-off</t>
        </is>
      </c>
      <c r="E17" s="25" t="inlineStr">
        <is>
          <t>Pending outreach Day 4</t>
        </is>
      </c>
      <c r="F17" s="26" t="inlineStr">
        <is>
          <t>Single biggest single-shot reach. Vet engagement &gt;2%.</t>
        </is>
      </c>
    </row>
    <row r="18" ht="28" customHeight="1">
      <c r="A18" s="25" t="inlineStr">
        <is>
          <t>Influencer</t>
        </is>
      </c>
      <c r="B18" s="25" t="inlineStr">
        <is>
          <t>5-7 × micro creators (50-150K)</t>
        </is>
      </c>
      <c r="C18" s="47" t="n">
        <v>2500</v>
      </c>
      <c r="D18" s="39" t="inlineStr">
        <is>
          <t>Day 7-12 rollout</t>
        </is>
      </c>
      <c r="E18" s="25" t="inlineStr">
        <is>
          <t>Pending outreach Day 7</t>
        </is>
      </c>
      <c r="F18" s="26" t="inlineStr">
        <is>
          <t>$300-500 each. Mix paid + product trade.</t>
        </is>
      </c>
    </row>
    <row r="19" ht="28" customHeight="1">
      <c r="A19" s="25" t="inlineStr">
        <is>
          <t>Influencer</t>
        </is>
      </c>
      <c r="B19" s="25" t="inlineStr">
        <is>
          <t>Lifetime Pro trades (15-20 micros)</t>
        </is>
      </c>
      <c r="C19" s="47" t="n">
        <v>0</v>
      </c>
      <c r="D19" s="39" t="inlineStr">
        <is>
          <t>Always-on</t>
        </is>
      </c>
      <c r="E19" s="25" t="inlineStr">
        <is>
          <t>Pending Day 7</t>
        </is>
      </c>
      <c r="F19" s="26" t="inlineStr">
        <is>
          <t>From INFLUENCER_OUTREACH.md. In-kind only.</t>
        </is>
      </c>
    </row>
    <row r="20" ht="28" customHeight="1">
      <c r="A20" s="18" t="inlineStr">
        <is>
          <t xml:space="preserve">  → Subtotal</t>
        </is>
      </c>
      <c r="B20" s="18" t="inlineStr">
        <is>
          <t>Influencer</t>
        </is>
      </c>
      <c r="C20" s="20" t="n">
        <v>5500</v>
      </c>
      <c r="D20" s="48" t="inlineStr"/>
      <c r="E20" s="18" t="inlineStr"/>
      <c r="F20" s="19" t="inlineStr">
        <is>
          <t>200K-1M impressions</t>
        </is>
      </c>
    </row>
    <row r="21" ht="28" customHeight="1">
      <c r="A21" s="13" t="inlineStr">
        <is>
          <t>[CONTENT PRODUCTION]</t>
        </is>
      </c>
      <c r="B21" s="13" t="inlineStr"/>
      <c r="C21" s="15" t="inlineStr"/>
      <c r="D21" s="15" t="inlineStr"/>
      <c r="E21" s="13" t="inlineStr"/>
      <c r="F21" s="14" t="inlineStr"/>
    </row>
    <row r="22" ht="28" customHeight="1">
      <c r="A22" s="25" t="inlineStr">
        <is>
          <t>Production</t>
        </is>
      </c>
      <c r="B22" s="25" t="inlineStr">
        <is>
          <t>Upwork content editor (18 days)</t>
        </is>
      </c>
      <c r="C22" s="47" t="n">
        <v>500</v>
      </c>
      <c r="D22" s="39" t="inlineStr">
        <is>
          <t>$28/day × 18</t>
        </is>
      </c>
      <c r="E22" s="25" t="inlineStr">
        <is>
          <t>Pending Day 5 hire</t>
        </is>
      </c>
      <c r="F22" s="26" t="inlineStr">
        <is>
          <t>Cross-posting + editing while founder records</t>
        </is>
      </c>
    </row>
    <row r="23" ht="28" customHeight="1">
      <c r="A23" s="25" t="inlineStr">
        <is>
          <t>Production</t>
        </is>
      </c>
      <c r="B23" s="25" t="inlineStr">
        <is>
          <t>1 × day production shoot (street TikTok)</t>
        </is>
      </c>
      <c r="C23" s="47" t="n">
        <v>1500</v>
      </c>
      <c r="D23" s="39" t="inlineStr">
        <is>
          <t>Day 10 (May 22)</t>
        </is>
      </c>
      <c r="E23" s="25" t="inlineStr">
        <is>
          <t>Pending</t>
        </is>
      </c>
      <c r="F23" s="26" t="inlineStr">
        <is>
          <t>NYC or LA. Creator + lighting + edit. 4-6 pieces.</t>
        </is>
      </c>
    </row>
    <row r="24" ht="28" customHeight="1">
      <c r="A24" s="25" t="inlineStr">
        <is>
          <t>Production</t>
        </is>
      </c>
      <c r="B24" s="25" t="inlineStr">
        <is>
          <t>Canva Pro Team + Pond5 + motion design</t>
        </is>
      </c>
      <c r="C24" s="47" t="n">
        <v>500</v>
      </c>
      <c r="D24" s="39" t="inlineStr">
        <is>
          <t>One-off</t>
        </is>
      </c>
      <c r="E24" s="25" t="inlineStr">
        <is>
          <t>Pending Day 6</t>
        </is>
      </c>
      <c r="F24" s="26" t="inlineStr">
        <is>
          <t>Reusable asset library</t>
        </is>
      </c>
    </row>
    <row r="25" ht="28" customHeight="1">
      <c r="A25" s="18" t="inlineStr">
        <is>
          <t xml:space="preserve">  → Subtotal</t>
        </is>
      </c>
      <c r="B25" s="18" t="inlineStr">
        <is>
          <t>Production</t>
        </is>
      </c>
      <c r="C25" s="20" t="n">
        <v>2500</v>
      </c>
      <c r="D25" s="48" t="inlineStr"/>
      <c r="E25" s="18" t="inlineStr"/>
      <c r="F25" s="19" t="inlineStr">
        <is>
          <t>Quality + volume both up</t>
        </is>
      </c>
    </row>
    <row r="26" ht="28" customHeight="1">
      <c r="A26" s="13" t="inlineStr">
        <is>
          <t>[SWEEPS &amp; VIRAL]</t>
        </is>
      </c>
      <c r="B26" s="13" t="inlineStr"/>
      <c r="C26" s="15" t="inlineStr"/>
      <c r="D26" s="15" t="inlineStr"/>
      <c r="E26" s="13" t="inlineStr"/>
      <c r="F26" s="14" t="inlineStr"/>
    </row>
    <row r="27" ht="28" customHeight="1">
      <c r="A27" s="25" t="inlineStr">
        <is>
          <t>Sweeps</t>
        </is>
      </c>
      <c r="B27" s="25" t="inlineStr">
        <is>
          <t>🎯 Gleam Hobby plan ($39 × 1 mo)</t>
        </is>
      </c>
      <c r="C27" s="47" t="n">
        <v>40</v>
      </c>
      <c r="D27" s="39" t="inlineStr">
        <is>
          <t>Tonight</t>
        </is>
      </c>
      <c r="E27" s="49" t="inlineStr">
        <is>
          <t>★ FIRST ACTION</t>
        </is>
      </c>
      <c r="F27" s="26" t="inlineStr">
        <is>
          <t>Unlocks Feature Media + Viral Share + Repeat Action Limit</t>
        </is>
      </c>
    </row>
    <row r="28" ht="28" customHeight="1">
      <c r="A28" s="25" t="inlineStr">
        <is>
          <t>Sweeps</t>
        </is>
      </c>
      <c r="B28" s="25" t="inlineStr">
        <is>
          <t>Sweepstakes prize stack upgrade</t>
        </is>
      </c>
      <c r="C28" s="47" t="n">
        <v>2000</v>
      </c>
      <c r="D28" s="39" t="inlineStr">
        <is>
          <t>Day 12 announce</t>
        </is>
      </c>
      <c r="E28" s="25" t="inlineStr">
        <is>
          <t>Pending</t>
        </is>
      </c>
      <c r="F28" s="26" t="inlineStr">
        <is>
          <t>Add $1.5K cash 2nd prize. Mid-campaign news hook.</t>
        </is>
      </c>
    </row>
    <row r="29" ht="28" customHeight="1">
      <c r="A29" s="25" t="inlineStr">
        <is>
          <t>Sweeps</t>
        </is>
      </c>
      <c r="B29" s="25" t="inlineStr">
        <is>
          <t>SparkLoop newsletter cross-promo</t>
        </is>
      </c>
      <c r="C29" s="47" t="n">
        <v>1500</v>
      </c>
      <c r="D29" s="39" t="inlineStr">
        <is>
          <t>Day 8 submit</t>
        </is>
      </c>
      <c r="E29" s="25" t="inlineStr">
        <is>
          <t>Pending</t>
        </is>
      </c>
      <c r="F29" s="26" t="inlineStr">
        <is>
          <t>750-1500 signups expected.</t>
        </is>
      </c>
    </row>
    <row r="30" ht="28" customHeight="1">
      <c r="A30" s="25" t="inlineStr">
        <is>
          <t>Sweeps</t>
        </is>
      </c>
      <c r="B30" s="25" t="inlineStr">
        <is>
          <t>Daily Drop on Twitter (7 × $40-50)</t>
        </is>
      </c>
      <c r="C30" s="47" t="n">
        <v>300</v>
      </c>
      <c r="D30" s="39" t="inlineStr">
        <is>
          <t>$43/day × 7</t>
        </is>
      </c>
      <c r="E30" s="25" t="inlineStr">
        <is>
          <t>Pending Day 16</t>
        </is>
      </c>
      <c r="F30" s="26" t="inlineStr">
        <is>
          <t>Week-of-launch micro-prizes.</t>
        </is>
      </c>
    </row>
    <row r="31" ht="28" customHeight="1">
      <c r="A31" s="25" t="inlineStr">
        <is>
          <t>Sweeps</t>
        </is>
      </c>
      <c r="B31" s="25" t="inlineStr">
        <is>
          <t>KingSumo Pro (free tier sufficient)</t>
        </is>
      </c>
      <c r="C31" s="47" t="n">
        <v>0</v>
      </c>
      <c r="D31" s="39" t="inlineStr">
        <is>
          <t>Day 10 launch</t>
        </is>
      </c>
      <c r="E31" s="25" t="inlineStr">
        <is>
          <t>Pending</t>
        </is>
      </c>
      <c r="F31" s="26" t="inlineStr">
        <is>
          <t>Free tier supports 1,000 entries — enough for our scale.</t>
        </is>
      </c>
    </row>
    <row r="32" ht="28" customHeight="1">
      <c r="A32" s="18" t="inlineStr">
        <is>
          <t xml:space="preserve">  → Subtotal</t>
        </is>
      </c>
      <c r="B32" s="18" t="inlineStr">
        <is>
          <t>Sweeps &amp; viral</t>
        </is>
      </c>
      <c r="C32" s="20" t="n">
        <v>3840</v>
      </c>
      <c r="D32" s="48" t="inlineStr"/>
      <c r="E32" s="18" t="inlineStr"/>
      <c r="F32" s="19" t="inlineStr">
        <is>
          <t>More entries + better mechanics</t>
        </is>
      </c>
    </row>
    <row r="33" ht="28" customHeight="1">
      <c r="A33" s="13" t="inlineStr">
        <is>
          <t>[PR &amp; LAUNCH]</t>
        </is>
      </c>
      <c r="B33" s="13" t="inlineStr"/>
      <c r="C33" s="15" t="inlineStr"/>
      <c r="D33" s="15" t="inlineStr"/>
      <c r="E33" s="13" t="inlineStr"/>
      <c r="F33" s="14" t="inlineStr"/>
    </row>
    <row r="34" ht="28" customHeight="1">
      <c r="A34" s="25" t="inlineStr">
        <is>
          <t>PR</t>
        </is>
      </c>
      <c r="B34" s="25" t="inlineStr">
        <is>
          <t>ProductHunt paid hunter (Day 18 launch)</t>
        </is>
      </c>
      <c r="C34" s="47" t="n">
        <v>500</v>
      </c>
      <c r="D34" s="39" t="inlineStr">
        <is>
          <t>One-off</t>
        </is>
      </c>
      <c r="E34" s="25" t="inlineStr">
        <is>
          <t>Pending Day 17 outreach</t>
        </is>
      </c>
      <c r="F34" s="26" t="inlineStr">
        <is>
          <t>Experienced hunter + animated demo + day-of comms.</t>
        </is>
      </c>
    </row>
    <row r="35" ht="28" customHeight="1">
      <c r="A35" s="25" t="inlineStr">
        <is>
          <t>PR</t>
        </is>
      </c>
      <c r="B35" s="25" t="inlineStr">
        <is>
          <t>Press kit (photography + bio + media training)</t>
        </is>
      </c>
      <c r="C35" s="47" t="n">
        <v>500</v>
      </c>
      <c r="D35" s="39" t="inlineStr">
        <is>
          <t>Day 14 session</t>
        </is>
      </c>
      <c r="E35" s="25" t="inlineStr">
        <is>
          <t>Pending booking</t>
        </is>
      </c>
      <c r="F35" s="26" t="inlineStr">
        <is>
          <t>Professional shots for press intake.</t>
        </is>
      </c>
    </row>
    <row r="36" ht="28" customHeight="1">
      <c r="A36" s="18" t="inlineStr">
        <is>
          <t xml:space="preserve">  → Subtotal</t>
        </is>
      </c>
      <c r="B36" s="18" t="inlineStr">
        <is>
          <t>PR</t>
        </is>
      </c>
      <c r="C36" s="20" t="n">
        <v>1000</v>
      </c>
      <c r="D36" s="48" t="inlineStr"/>
      <c r="E36" s="18" t="inlineStr"/>
      <c r="F36" s="19" t="inlineStr">
        <is>
          <t>Founder story drop amplification</t>
        </is>
      </c>
    </row>
    <row r="37" ht="28" customHeight="1">
      <c r="A37" s="13" t="inlineStr">
        <is>
          <t>[TOOLING &amp; INFRA]</t>
        </is>
      </c>
      <c r="B37" s="13" t="inlineStr"/>
      <c r="C37" s="15" t="inlineStr"/>
      <c r="D37" s="15" t="inlineStr"/>
      <c r="E37" s="13" t="inlineStr"/>
      <c r="F37" s="14" t="inlineStr"/>
    </row>
    <row r="38" ht="28" customHeight="1">
      <c r="A38" s="25" t="inlineStr">
        <is>
          <t>Tooling</t>
        </is>
      </c>
      <c r="B38" s="25" t="inlineStr">
        <is>
          <t>Resend Pro + Vercel Pro + Supabase Pro</t>
        </is>
      </c>
      <c r="C38" s="47" t="n">
        <v>200</v>
      </c>
      <c r="D38" s="39" t="inlineStr">
        <is>
          <t>Day 5 upgrade</t>
        </is>
      </c>
      <c r="E38" s="25" t="inlineStr">
        <is>
          <t>Pending auth</t>
        </is>
      </c>
      <c r="F38" s="26" t="inlineStr">
        <is>
          <t>Needed once waitlist crosses 5K</t>
        </is>
      </c>
    </row>
    <row r="39" ht="28" customHeight="1">
      <c r="A39" s="18" t="inlineStr">
        <is>
          <t xml:space="preserve">  → Subtotal</t>
        </is>
      </c>
      <c r="B39" s="18" t="inlineStr">
        <is>
          <t>Tooling</t>
        </is>
      </c>
      <c r="C39" s="20" t="n">
        <v>200</v>
      </c>
      <c r="D39" s="48" t="inlineStr"/>
      <c r="E39" s="18" t="inlineStr"/>
      <c r="F39" s="19" t="inlineStr"/>
    </row>
    <row r="40" ht="28" customHeight="1">
      <c r="A40" s="13" t="inlineStr">
        <is>
          <t>[CONTINGENCY]</t>
        </is>
      </c>
      <c r="B40" s="13" t="inlineStr"/>
      <c r="C40" s="15" t="inlineStr"/>
      <c r="D40" s="15" t="inlineStr"/>
      <c r="E40" s="13" t="inlineStr"/>
      <c r="F40" s="14" t="inlineStr"/>
    </row>
    <row r="41" ht="28" customHeight="1">
      <c r="A41" s="25" t="inlineStr">
        <is>
          <t>Contingency</t>
        </is>
      </c>
      <c r="B41" s="25" t="inlineStr">
        <is>
          <t>Day 10 reallocation reserve</t>
        </is>
      </c>
      <c r="C41" s="47" t="n">
        <v>460</v>
      </c>
      <c r="D41" s="39" t="inlineStr">
        <is>
          <t>Day 10 decision</t>
        </is>
      </c>
      <c r="E41" s="25" t="inlineStr">
        <is>
          <t>Held</t>
        </is>
      </c>
      <c r="F41" s="26" t="inlineStr">
        <is>
          <t>★ Critical lever. Whatever's winning gets this.</t>
        </is>
      </c>
    </row>
    <row r="42" ht="28" customHeight="1">
      <c r="A42" s="25" t="inlineStr"/>
      <c r="B42" s="25" t="inlineStr"/>
      <c r="C42" s="39" t="inlineStr"/>
      <c r="D42" s="39" t="inlineStr"/>
      <c r="E42" s="25" t="inlineStr"/>
      <c r="F42" s="26" t="inlineStr"/>
    </row>
    <row r="43" ht="28" customHeight="1">
      <c r="A43" s="22" t="inlineStr">
        <is>
          <t>TOTAL</t>
        </is>
      </c>
      <c r="B43" s="22" t="inlineStr"/>
      <c r="C43" s="24" t="n">
        <v>25000</v>
      </c>
      <c r="D43" s="50" t="inlineStr"/>
      <c r="E43" s="22" t="inlineStr"/>
      <c r="F43" s="23" t="inlineStr">
        <is>
          <t>$1,470/day equivalent</t>
        </is>
      </c>
    </row>
    <row r="47" ht="32" customHeight="1">
      <c r="A47" s="4" t="inlineStr">
        <is>
          <t>WEEK-BY-WEEK PAID CADENCE</t>
        </is>
      </c>
    </row>
    <row r="48" ht="24" customHeight="1">
      <c r="A48" s="6" t="inlineStr">
        <is>
          <t>Day</t>
        </is>
      </c>
      <c r="B48" s="6" t="inlineStr">
        <is>
          <t>Date</t>
        </is>
      </c>
      <c r="C48" s="6" t="inlineStr">
        <is>
          <t>Paid action</t>
        </is>
      </c>
      <c r="D48" s="6" t="inlineStr">
        <is>
          <t>$ spent (cumulative)</t>
        </is>
      </c>
      <c r="E48" s="6" t="inlineStr">
        <is>
          <t>Notes</t>
        </is>
      </c>
    </row>
    <row r="49" ht="24" customHeight="1">
      <c r="A49" s="15" t="inlineStr">
        <is>
          <t>[Week 1: RAMP UP]</t>
        </is>
      </c>
      <c r="B49" s="15" t="inlineStr"/>
      <c r="C49" s="15" t="inlineStr"/>
      <c r="D49" s="15" t="inlineStr"/>
      <c r="E49" s="14" t="inlineStr"/>
    </row>
    <row r="50" ht="24" customHeight="1">
      <c r="A50" s="39" t="n">
        <v>2</v>
      </c>
      <c r="B50" s="39" t="inlineStr">
        <is>
          <t>May 14</t>
        </is>
      </c>
      <c r="C50" s="39" t="inlineStr">
        <is>
          <t>Gleam Hobby upgrade ($39) — TONIGHT</t>
        </is>
      </c>
      <c r="D50" s="47" t="n">
        <v>39</v>
      </c>
      <c r="E50" s="26" t="inlineStr">
        <is>
          <t>★ First action. Unlocks everything else.</t>
        </is>
      </c>
    </row>
    <row r="51" ht="24" customHeight="1">
      <c r="A51" s="39" t="n">
        <v>3</v>
      </c>
      <c r="B51" s="39" t="inlineStr">
        <is>
          <t>May 15</t>
        </is>
      </c>
      <c r="C51" s="39" t="inlineStr">
        <is>
          <t>Meta Ads cold scaled to $350/day starts</t>
        </is>
      </c>
      <c r="D51" s="47" t="n">
        <v>389</v>
      </c>
      <c r="E51" s="26" t="inlineStr">
        <is>
          <t>Existing Campaign 1 just gets the bigger budget</t>
        </is>
      </c>
    </row>
    <row r="52" ht="24" customHeight="1">
      <c r="A52" s="39" t="n">
        <v>3</v>
      </c>
      <c r="B52" s="39" t="inlineStr">
        <is>
          <t>May 15</t>
        </is>
      </c>
      <c r="C52" s="39" t="inlineStr">
        <is>
          <t>TikTok Spark Ads $175/day reactive starts</t>
        </is>
      </c>
      <c r="D52" s="47" t="n">
        <v>389</v>
      </c>
      <c r="E52" s="26" t="inlineStr">
        <is>
          <t>Only fires on Reels &gt;50K views</t>
        </is>
      </c>
    </row>
    <row r="53" ht="24" customHeight="1">
      <c r="A53" s="39" t="n">
        <v>4</v>
      </c>
      <c r="B53" s="39" t="inlineStr">
        <is>
          <t>May 16</t>
        </is>
      </c>
      <c r="C53" s="39" t="inlineStr">
        <is>
          <t>DM 5 mid-tier creators with $3K paid offer</t>
        </is>
      </c>
      <c r="D53" s="47" t="n">
        <v>389</v>
      </c>
      <c r="E53" s="26" t="inlineStr">
        <is>
          <t>No spend yet — outreach phase</t>
        </is>
      </c>
    </row>
    <row r="54" ht="24" customHeight="1">
      <c r="A54" s="39" t="n">
        <v>5</v>
      </c>
      <c r="B54" s="39" t="inlineStr">
        <is>
          <t>May 17</t>
        </is>
      </c>
      <c r="C54" s="39" t="inlineStr">
        <is>
          <t>Upwork content editor hired ($500 one-off)</t>
        </is>
      </c>
      <c r="D54" s="47" t="n">
        <v>889</v>
      </c>
      <c r="E54" s="26" t="inlineStr">
        <is>
          <t>18-day gig</t>
        </is>
      </c>
    </row>
    <row r="55" ht="24" customHeight="1">
      <c r="A55" s="39" t="n">
        <v>5</v>
      </c>
      <c r="B55" s="39" t="inlineStr">
        <is>
          <t>May 17</t>
        </is>
      </c>
      <c r="C55" s="39" t="inlineStr">
        <is>
          <t>Infra upgrades ($200): Resend/Vercel/Supabase Pro</t>
        </is>
      </c>
      <c r="D55" s="47" t="n">
        <v>1089</v>
      </c>
      <c r="E55" s="26" t="inlineStr"/>
    </row>
    <row r="56" ht="24" customHeight="1">
      <c r="A56" s="39" t="n">
        <v>6</v>
      </c>
      <c r="B56" s="39" t="inlineStr">
        <is>
          <t>May 18</t>
        </is>
      </c>
      <c r="C56" s="39" t="inlineStr">
        <is>
          <t>Canva Pro Team + Pond5 ($500 one-off)</t>
        </is>
      </c>
      <c r="D56" s="47" t="n">
        <v>1589</v>
      </c>
      <c r="E56" s="26" t="inlineStr"/>
    </row>
    <row r="57" ht="24" customHeight="1">
      <c r="A57" s="39" t="n">
        <v>7</v>
      </c>
      <c r="B57" s="39" t="inlineStr">
        <is>
          <t>May 19</t>
        </is>
      </c>
      <c r="C57" s="39" t="inlineStr">
        <is>
          <t>DM 15-20 micros with $300-500 paid offer</t>
        </is>
      </c>
      <c r="D57" s="47" t="n">
        <v>1589</v>
      </c>
      <c r="E57" s="26" t="inlineStr">
        <is>
          <t>Outreach phase</t>
        </is>
      </c>
    </row>
    <row r="58" ht="24" customHeight="1">
      <c r="A58" s="39" t="n">
        <v>8</v>
      </c>
      <c r="B58" s="39" t="inlineStr">
        <is>
          <t>May 20</t>
        </is>
      </c>
      <c r="C58" s="39" t="inlineStr">
        <is>
          <t>SparkLoop submission ($1,500 cap)</t>
        </is>
      </c>
      <c r="D58" s="47" t="n">
        <v>3089</v>
      </c>
      <c r="E58" s="26" t="inlineStr">
        <is>
          <t>24-72hr approval</t>
        </is>
      </c>
    </row>
    <row r="59" ht="24" customHeight="1">
      <c r="A59" s="48" t="inlineStr">
        <is>
          <t xml:space="preserve">  → Week 1 spend</t>
        </is>
      </c>
      <c r="B59" s="48" t="inlineStr"/>
      <c r="C59" s="48" t="inlineStr"/>
      <c r="D59" s="20" t="n">
        <v>3089</v>
      </c>
      <c r="E59" s="19" t="inlineStr">
        <is>
          <t>$181/day avg — mostly setup</t>
        </is>
      </c>
    </row>
    <row r="60" ht="24" customHeight="1">
      <c r="A60" s="15" t="inlineStr">
        <is>
          <t>[Week 2: AMPLIFY]</t>
        </is>
      </c>
      <c r="B60" s="15" t="inlineStr"/>
      <c r="C60" s="15" t="inlineStr"/>
      <c r="D60" s="15" t="inlineStr"/>
      <c r="E60" s="14" t="inlineStr"/>
    </row>
    <row r="61" ht="24" customHeight="1">
      <c r="A61" s="39" t="n">
        <v>9</v>
      </c>
      <c r="B61" s="39" t="inlineStr">
        <is>
          <t>May 21</t>
        </is>
      </c>
      <c r="C61" s="39" t="inlineStr">
        <is>
          <t>Mid-tier creator post drops ($3K)</t>
        </is>
      </c>
      <c r="D61" s="47" t="n">
        <v>6089</v>
      </c>
      <c r="E61" s="26" t="inlineStr">
        <is>
          <t>Single biggest line item lands</t>
        </is>
      </c>
    </row>
    <row r="62" ht="24" customHeight="1">
      <c r="A62" s="39" t="n">
        <v>9</v>
      </c>
      <c r="B62" s="39" t="inlineStr">
        <is>
          <t>May 21</t>
        </is>
      </c>
      <c r="C62" s="39" t="inlineStr">
        <is>
          <t>First micro creator posts drop ($1,500)</t>
        </is>
      </c>
      <c r="D62" s="47" t="n">
        <v>7589</v>
      </c>
      <c r="E62" s="26" t="inlineStr">
        <is>
          <t>3-4 micros over Day 9-12</t>
        </is>
      </c>
    </row>
    <row r="63" ht="24" customHeight="1">
      <c r="A63" s="39" t="n">
        <v>10</v>
      </c>
      <c r="B63" s="39" t="inlineStr">
        <is>
          <t>May 22</t>
        </is>
      </c>
      <c r="C63" s="39" t="inlineStr">
        <is>
          <t>Production shoot day ($1,500)</t>
        </is>
      </c>
      <c r="D63" s="47" t="n">
        <v>9089</v>
      </c>
      <c r="E63" s="26" t="inlineStr">
        <is>
          <t>Street TikTok content</t>
        </is>
      </c>
    </row>
    <row r="64" ht="24" customHeight="1">
      <c r="A64" s="39" t="n">
        <v>10</v>
      </c>
      <c r="B64" s="39" t="inlineStr">
        <is>
          <t>May 22</t>
        </is>
      </c>
      <c r="C64" s="39" t="inlineStr">
        <is>
          <t>★ HARD REALLOCATION ($460 contingency)</t>
        </is>
      </c>
      <c r="D64" s="47" t="n">
        <v>9549</v>
      </c>
      <c r="E64" s="26" t="inlineStr">
        <is>
          <t>★★★ Critical decision moment</t>
        </is>
      </c>
    </row>
    <row r="65" ht="24" customHeight="1">
      <c r="A65" s="39" t="n">
        <v>11</v>
      </c>
      <c r="B65" s="39" t="inlineStr">
        <is>
          <t>May 23</t>
        </is>
      </c>
      <c r="C65" s="39" t="inlineStr">
        <is>
          <t>More micro posts drop ($1,000)</t>
        </is>
      </c>
      <c r="D65" s="47" t="n">
        <v>10549</v>
      </c>
      <c r="E65" s="26" t="inlineStr">
        <is>
          <t>Remaining 2-3 micros</t>
        </is>
      </c>
    </row>
    <row r="66" ht="24" customHeight="1">
      <c r="A66" s="39" t="n">
        <v>12</v>
      </c>
      <c r="B66" s="39" t="inlineStr">
        <is>
          <t>May 24</t>
        </is>
      </c>
      <c r="C66" s="39" t="inlineStr">
        <is>
          <t>Sweepstakes prize bump announcement ($2,000)</t>
        </is>
      </c>
      <c r="D66" s="47" t="n">
        <v>12549</v>
      </c>
      <c r="E66" s="26" t="inlineStr">
        <is>
          <t>Cash 2nd prize added</t>
        </is>
      </c>
    </row>
    <row r="67" ht="24" customHeight="1">
      <c r="A67" s="39" t="n">
        <v>14</v>
      </c>
      <c r="B67" s="39" t="inlineStr">
        <is>
          <t>May 26</t>
        </is>
      </c>
      <c r="C67" s="39" t="inlineStr">
        <is>
          <t>Founder story drop + paid amplification ($500)</t>
        </is>
      </c>
      <c r="D67" s="47" t="n">
        <v>13049</v>
      </c>
      <c r="E67" s="26" t="inlineStr">
        <is>
          <t>Boost the best story-drop video</t>
        </is>
      </c>
    </row>
    <row r="68" ht="24" customHeight="1">
      <c r="A68" s="39" t="n">
        <v>14</v>
      </c>
      <c r="B68" s="39" t="inlineStr">
        <is>
          <t>May 26</t>
        </is>
      </c>
      <c r="C68" s="39" t="inlineStr">
        <is>
          <t>Press kit photography session ($500)</t>
        </is>
      </c>
      <c r="D68" s="47" t="n">
        <v>13549</v>
      </c>
      <c r="E68" s="26" t="inlineStr">
        <is>
          <t>For founder story wave press intake</t>
        </is>
      </c>
    </row>
    <row r="69" ht="24" customHeight="1">
      <c r="A69" s="48" t="inlineStr">
        <is>
          <t xml:space="preserve">  → Week 2 spend</t>
        </is>
      </c>
      <c r="B69" s="48" t="inlineStr"/>
      <c r="C69" s="48" t="inlineStr"/>
      <c r="D69" s="20" t="n">
        <v>13549</v>
      </c>
      <c r="E69" s="19" t="inlineStr">
        <is>
          <t>$1,494/day avg — heaviest week</t>
        </is>
      </c>
    </row>
    <row r="70" ht="24" customHeight="1">
      <c r="A70" s="15" t="inlineStr">
        <is>
          <t>[Week 3: FINAL PUSH]</t>
        </is>
      </c>
      <c r="B70" s="15" t="inlineStr"/>
      <c r="C70" s="15" t="inlineStr"/>
      <c r="D70" s="15" t="inlineStr"/>
      <c r="E70" s="14" t="inlineStr"/>
    </row>
    <row r="71" ht="24" customHeight="1">
      <c r="A71" s="39" t="n">
        <v>16</v>
      </c>
      <c r="B71" s="39" t="inlineStr">
        <is>
          <t>May 28</t>
        </is>
      </c>
      <c r="C71" s="39" t="inlineStr">
        <is>
          <t>Daily Drop on Twitter starts ($43/day × 7 = $300)</t>
        </is>
      </c>
      <c r="D71" s="47" t="n">
        <v>13849</v>
      </c>
      <c r="E71" s="26" t="inlineStr">
        <is>
          <t>$300 across week</t>
        </is>
      </c>
    </row>
    <row r="72" ht="24" customHeight="1">
      <c r="A72" s="39" t="n">
        <v>17</v>
      </c>
      <c r="B72" s="39" t="inlineStr">
        <is>
          <t>May 29</t>
        </is>
      </c>
      <c r="C72" s="39" t="inlineStr">
        <is>
          <t>Meta retargeting full-throttle ($147/day)</t>
        </is>
      </c>
      <c r="D72" s="47" t="n">
        <v>16349</v>
      </c>
      <c r="E72" s="26" t="inlineStr">
        <is>
          <t>Cumulative retargeting line keeps adding</t>
        </is>
      </c>
    </row>
    <row r="73" ht="24" customHeight="1">
      <c r="A73" s="39" t="n">
        <v>18</v>
      </c>
      <c r="B73" s="39" t="inlineStr">
        <is>
          <t>May 30</t>
        </is>
      </c>
      <c r="C73" s="39" t="inlineStr">
        <is>
          <t>ProductHunt paid hunter engaged ($500)</t>
        </is>
      </c>
      <c r="D73" s="47" t="n">
        <v>16849</v>
      </c>
      <c r="E73" s="26" t="inlineStr">
        <is>
          <t>Day-of comms support</t>
        </is>
      </c>
    </row>
    <row r="74" ht="24" customHeight="1">
      <c r="A74" s="39" t="n">
        <v>18</v>
      </c>
      <c r="B74" s="39" t="inlineStr">
        <is>
          <t>May 30</t>
        </is>
      </c>
      <c r="C74" s="39" t="inlineStr">
        <is>
          <t>TikTok Spark Ads final push ($1,000 of $3K cap)</t>
        </is>
      </c>
      <c r="D74" s="47" t="n">
        <v>17849</v>
      </c>
      <c r="E74" s="26" t="inlineStr">
        <is>
          <t>Use remaining boost budget on top performers</t>
        </is>
      </c>
    </row>
    <row r="75" ht="24" customHeight="1">
      <c r="A75" s="39" t="n">
        <v>19</v>
      </c>
      <c r="B75" s="39" t="inlineStr">
        <is>
          <t>May 31</t>
        </is>
      </c>
      <c r="C75" s="39" t="inlineStr">
        <is>
          <t>Final-day Meta ad surge ($500 extra)</t>
        </is>
      </c>
      <c r="D75" s="47" t="n">
        <v>18349</v>
      </c>
      <c r="E75" s="26" t="inlineStr">
        <is>
          <t>Last-day FOMO</t>
        </is>
      </c>
    </row>
    <row r="76" ht="24" customHeight="1">
      <c r="A76" s="48" t="inlineStr">
        <is>
          <t xml:space="preserve">  → Week 3 spend</t>
        </is>
      </c>
      <c r="B76" s="48" t="inlineStr"/>
      <c r="C76" s="48" t="inlineStr"/>
      <c r="D76" s="20" t="n">
        <v>18349</v>
      </c>
      <c r="E76" s="19" t="inlineStr">
        <is>
          <t>—</t>
        </is>
      </c>
    </row>
    <row r="77" ht="24" customHeight="1">
      <c r="A77" s="39" t="inlineStr"/>
      <c r="B77" s="39" t="inlineStr"/>
      <c r="C77" s="39" t="inlineStr"/>
      <c r="D77" s="39" t="inlineStr"/>
      <c r="E77" s="26" t="inlineStr"/>
    </row>
    <row r="78" ht="24" customHeight="1">
      <c r="A78" s="39" t="inlineStr">
        <is>
          <t>Always-on through May 31</t>
        </is>
      </c>
      <c r="B78" s="39" t="inlineStr">
        <is>
          <t>Meta cold ($350/day × 17)</t>
        </is>
      </c>
      <c r="C78" s="39" t="inlineStr"/>
      <c r="D78" s="47" t="n">
        <v>25000</v>
      </c>
      <c r="E78" s="26" t="inlineStr">
        <is>
          <t>Cumulative total all in</t>
        </is>
      </c>
    </row>
    <row r="82" ht="32" customHeight="1">
      <c r="A82" s="4" t="inlineStr">
        <is>
          <t>EXPECTED OUTCOMES — $1K plan vs $25K active vs $100K hypothetical</t>
        </is>
      </c>
    </row>
    <row r="83" ht="24" customHeight="1">
      <c r="A83" s="6" t="inlineStr">
        <is>
          <t>Metric</t>
        </is>
      </c>
      <c r="B83" s="6" t="inlineStr">
        <is>
          <t>$1K plan</t>
        </is>
      </c>
      <c r="C83" s="6" t="inlineStr">
        <is>
          <t>$25K plan (CURRENT)</t>
        </is>
      </c>
      <c r="D83" s="6" t="inlineStr">
        <is>
          <t>$100K plan</t>
        </is>
      </c>
      <c r="E83" s="6" t="inlineStr">
        <is>
          <t>Lift ($25K vs $1K)</t>
        </is>
      </c>
      <c r="F83" s="6" t="inlineStr">
        <is>
          <t>Notes</t>
        </is>
      </c>
    </row>
    <row r="84" ht="26" customHeight="1">
      <c r="A84" s="39" t="inlineStr">
        <is>
          <t>Waitlist signups</t>
        </is>
      </c>
      <c r="B84" s="39" t="inlineStr">
        <is>
          <t>1.5-2.5K</t>
        </is>
      </c>
      <c r="C84" s="51" t="inlineStr">
        <is>
          <t>8K-15K</t>
        </is>
      </c>
      <c r="D84" s="39" t="inlineStr">
        <is>
          <t>25K-50K</t>
        </is>
      </c>
      <c r="E84" s="39" t="inlineStr">
        <is>
          <t>5-6×</t>
        </is>
      </c>
      <c r="F84" s="26" t="inlineStr">
        <is>
          <t>Linear scaling on paid channels</t>
        </is>
      </c>
    </row>
    <row r="85" ht="26" customHeight="1">
      <c r="A85" s="39" t="inlineStr">
        <is>
          <t>Cost per signup (blended)</t>
        </is>
      </c>
      <c r="B85" s="39" t="inlineStr">
        <is>
          <t>$0.40-0.67</t>
        </is>
      </c>
      <c r="C85" s="51" t="inlineStr">
        <is>
          <t>$1.67-3.13</t>
        </is>
      </c>
      <c r="D85" s="39" t="inlineStr">
        <is>
          <t>$2-4</t>
        </is>
      </c>
      <c r="E85" s="39" t="inlineStr">
        <is>
          <t>↑ (pay for scale)</t>
        </is>
      </c>
      <c r="F85" s="26" t="inlineStr">
        <is>
          <t>Higher CPL is normal at scale</t>
        </is>
      </c>
    </row>
    <row r="86" ht="26" customHeight="1">
      <c r="A86" s="39" t="inlineStr">
        <is>
          <t>IG followers gained</t>
        </is>
      </c>
      <c r="B86" s="39" t="inlineStr">
        <is>
          <t>0.5-1.5K</t>
        </is>
      </c>
      <c r="C86" s="51" t="inlineStr">
        <is>
          <t>5K-15K</t>
        </is>
      </c>
      <c r="D86" s="39" t="inlineStr">
        <is>
          <t>20K-50K</t>
        </is>
      </c>
      <c r="E86" s="39" t="inlineStr">
        <is>
          <t>10×</t>
        </is>
      </c>
      <c r="F86" s="26" t="inlineStr">
        <is>
          <t>Paid TikTok cross-pollinates</t>
        </is>
      </c>
    </row>
    <row r="87" ht="26" customHeight="1">
      <c r="A87" s="39" t="inlineStr">
        <is>
          <t>TikTok followers gained</t>
        </is>
      </c>
      <c r="B87" s="39" t="inlineStr">
        <is>
          <t>1K-3K</t>
        </is>
      </c>
      <c r="C87" s="51" t="inlineStr">
        <is>
          <t>8K-20K</t>
        </is>
      </c>
      <c r="D87" s="39" t="inlineStr">
        <is>
          <t>30K-75K</t>
        </is>
      </c>
      <c r="E87" s="39" t="inlineStr">
        <is>
          <t>6.7×</t>
        </is>
      </c>
      <c r="F87" s="26" t="inlineStr">
        <is>
          <t>Spark Ads + production shoot</t>
        </is>
      </c>
    </row>
    <row r="88" ht="26" customHeight="1">
      <c r="A88" s="39" t="inlineStr">
        <is>
          <t>Twitter followers gained</t>
        </is>
      </c>
      <c r="B88" s="39" t="inlineStr">
        <is>
          <t>200-500</t>
        </is>
      </c>
      <c r="C88" s="51" t="inlineStr">
        <is>
          <t>2K-5K</t>
        </is>
      </c>
      <c r="D88" s="39" t="inlineStr">
        <is>
          <t>8K-20K</t>
        </is>
      </c>
      <c r="E88" s="39" t="inlineStr">
        <is>
          <t>10×</t>
        </is>
      </c>
      <c r="F88" s="26" t="inlineStr">
        <is>
          <t>Founder story drop + Show HN</t>
        </is>
      </c>
    </row>
    <row r="89" ht="26" customHeight="1">
      <c r="A89" s="39" t="inlineStr">
        <is>
          <t>Press placements</t>
        </is>
      </c>
      <c r="B89" s="39" t="inlineStr">
        <is>
          <t>1 small</t>
        </is>
      </c>
      <c r="C89" s="51" t="inlineStr">
        <is>
          <t>3-5 mid</t>
        </is>
      </c>
      <c r="D89" s="39" t="inlineStr">
        <is>
          <t>5-10 + tier-1</t>
        </is>
      </c>
      <c r="E89" s="39" t="inlineStr">
        <is>
          <t>3-5×</t>
        </is>
      </c>
      <c r="F89" s="26" t="inlineStr">
        <is>
          <t>Press kit + paid hunter</t>
        </is>
      </c>
    </row>
    <row r="90" ht="26" customHeight="1">
      <c r="A90" s="39" t="inlineStr">
        <is>
          <t>Viral pieces (&gt;100K views)</t>
        </is>
      </c>
      <c r="B90" s="39" t="inlineStr">
        <is>
          <t>0-1</t>
        </is>
      </c>
      <c r="C90" s="51" t="inlineStr">
        <is>
          <t>2-4</t>
        </is>
      </c>
      <c r="D90" s="39" t="inlineStr">
        <is>
          <t>4-8</t>
        </is>
      </c>
      <c r="E90" s="39" t="inlineStr">
        <is>
          <t>2-4×</t>
        </is>
      </c>
      <c r="F90" s="26" t="inlineStr">
        <is>
          <t>Production shoot designed for this</t>
        </is>
      </c>
    </row>
    <row r="91" ht="26" customHeight="1">
      <c r="A91" s="39" t="inlineStr">
        <is>
          <t>Brand recall (post-launch survey)</t>
        </is>
      </c>
      <c r="B91" s="39" t="inlineStr">
        <is>
          <t>&lt;5%</t>
        </is>
      </c>
      <c r="C91" s="51" t="inlineStr">
        <is>
          <t>10-20%</t>
        </is>
      </c>
      <c r="D91" s="39" t="inlineStr">
        <is>
          <t>25-40%</t>
        </is>
      </c>
      <c r="E91" s="39" t="inlineStr">
        <is>
          <t>2-4×</t>
        </is>
      </c>
      <c r="F91" s="26" t="inlineStr">
        <is>
          <t>Compounding effect</t>
        </is>
      </c>
    </row>
    <row r="92" ht="26" customHeight="1">
      <c r="A92" s="39" t="inlineStr">
        <is>
          <t>Lifetime Pro conversions</t>
        </is>
      </c>
      <c r="B92" s="39" t="inlineStr">
        <is>
          <t>15-30</t>
        </is>
      </c>
      <c r="C92" s="51" t="inlineStr">
        <is>
          <t>80-300</t>
        </is>
      </c>
      <c r="D92" s="39" t="inlineStr">
        <is>
          <t>250-1.5K</t>
        </is>
      </c>
      <c r="E92" s="39" t="inlineStr">
        <is>
          <t>5-10×</t>
        </is>
      </c>
      <c r="F92" s="26" t="inlineStr">
        <is>
          <t>$30 launch promo, $150 regular</t>
        </is>
      </c>
    </row>
    <row r="96" ht="32" customHeight="1">
      <c r="A96" s="4" t="inlineStr">
        <is>
          <t>RISK CALLOUTS</t>
        </is>
      </c>
    </row>
    <row r="97" ht="38" customHeight="1">
      <c r="A97" s="27" t="inlineStr">
        <is>
          <t>Meta CPL &gt; $3 risk</t>
        </is>
      </c>
      <c r="B97" s="26" t="inlineStr">
        <is>
          <t>If Day 7 CPL on cold &gt; $3, kill cold campaign immediately. Redeploy budget to retargeting + influencer. Don't slow-drift.</t>
        </is>
      </c>
    </row>
    <row r="98" ht="38" customHeight="1">
      <c r="A98" s="27" t="inlineStr">
        <is>
          <t>Mid-tier creator dud risk</t>
        </is>
      </c>
      <c r="B98" s="26" t="inlineStr">
        <is>
          <t>$3K mid-tier post is binary — if audience doesn't convert, that's 12% of budget gone. Vet engagement rate (&gt;2% required) before signing. Read 5 most recent posts to confirm they're not running competing betting promos.</t>
        </is>
      </c>
    </row>
    <row r="99" ht="38" customHeight="1">
      <c r="A99" s="27" t="inlineStr">
        <is>
          <t>Production shoot weather/logistics</t>
        </is>
      </c>
      <c r="B99" s="26" t="inlineStr">
        <is>
          <t>$1.5K street TikTok shoot can rain out. Block 2 backup dates. Or shift to studio if weather is bad.</t>
        </is>
      </c>
    </row>
    <row r="100" ht="38" customHeight="1">
      <c r="A100" s="27" t="inlineStr">
        <is>
          <t>Gleam Hobby vs Pro at scale</t>
        </is>
      </c>
      <c r="B100" s="26" t="inlineStr">
        <is>
          <t>If Viral Share entries explode past 1K participants, consider one-time $99 Pro upgrade. Decision point: Day 10. Total budget impact: $99 from contingency.</t>
        </is>
      </c>
    </row>
    <row r="101" ht="38" customHeight="1">
      <c r="A101" s="27" t="inlineStr">
        <is>
          <t>Algorithm dependence</t>
        </is>
      </c>
      <c r="B101" s="26" t="inlineStr">
        <is>
          <t>At $25K we're more exposed to platform algo changes mid-campaign. Diversification across Meta + TikTok + organic is the hedge.</t>
        </is>
      </c>
    </row>
  </sheetData>
  <mergeCells count="15">
    <mergeCell ref="A2:F2"/>
    <mergeCell ref="B7:F7"/>
    <mergeCell ref="A47:F47"/>
    <mergeCell ref="B6:F6"/>
    <mergeCell ref="A82:F82"/>
    <mergeCell ref="B100:F100"/>
    <mergeCell ref="A1:F1"/>
    <mergeCell ref="A9:F9"/>
    <mergeCell ref="B5:F5"/>
    <mergeCell ref="B98:F98"/>
    <mergeCell ref="B99:F99"/>
    <mergeCell ref="A4:F4"/>
    <mergeCell ref="B101:F101"/>
    <mergeCell ref="A96:F96"/>
    <mergeCell ref="B97:F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2026-05-14T15:30:39Z</dcterms:created>
  <dcterms:modified xsi:type="dcterms:W3CDTF">2026-05-14T15:30:39Z</dcterms:modified>
</cp:coreProperties>
</file>