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 · README" sheetId="1" state="visible" r:id="rId1"/>
    <sheet name="1 · KPI Dashboard" sheetId="2" state="visible" r:id="rId2"/>
    <sheet name="2 · Content Calendar" sheetId="3" state="visible" r:id="rId3"/>
    <sheet name="3 · Ad Performance" sheetId="4" state="visible" r:id="rId4"/>
    <sheet name="4 · Channel ROI" sheetId="5" state="visible" r:id="rId5"/>
    <sheet name="5 · Activations" sheetId="6" state="visible" r:id="rId6"/>
    <sheet name="6 · Influencer Outreach" sheetId="7" state="visible" r:id="rId7"/>
    <sheet name="7 · Pick Performance" sheetId="8" state="visible" r:id="rId8"/>
    <sheet name="8 · $100K Scenari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$#,##0.00"/>
    <numFmt numFmtId="166" formatCode="0.0%"/>
    <numFmt numFmtId="167" formatCode="$#,##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66666"/>
      <sz val="9"/>
    </font>
    <font>
      <name val="Calibri"/>
      <b val="1"/>
      <color rgb="000A0B0D"/>
      <sz val="11"/>
    </font>
    <font>
      <name val="Calibri"/>
      <b val="1"/>
      <color rgb="00333333"/>
      <sz val="10"/>
    </font>
    <font>
      <name val="Calibri"/>
      <b val="1"/>
      <color rgb="000A0B0D"/>
      <sz val="12"/>
    </font>
    <font>
      <name val="Calibri"/>
      <sz val="10"/>
    </font>
    <font>
      <name val="Calibri"/>
      <b val="1"/>
      <color rgb="00FFFFFF"/>
      <sz val="22"/>
    </font>
    <font>
      <name val="Calibri"/>
      <b val="1"/>
      <color rgb="000A0B0D"/>
      <sz val="14"/>
    </font>
    <font>
      <name val="Calibri"/>
      <sz val="11"/>
    </font>
  </fonts>
  <fills count="6">
    <fill>
      <patternFill/>
    </fill>
    <fill>
      <patternFill patternType="gray125"/>
    </fill>
    <fill>
      <patternFill patternType="solid">
        <fgColor rgb="000A0B0D"/>
      </patternFill>
    </fill>
    <fill>
      <patternFill patternType="solid">
        <fgColor rgb="00D4FF3A"/>
      </patternFill>
    </fill>
    <fill>
      <patternFill patternType="solid">
        <fgColor rgb="00F4F4F4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3" fillId="3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67" fontId="0" fillId="0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top" wrapText="1"/>
    </xf>
    <xf numFmtId="167" fontId="4" fillId="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top" wrapText="1"/>
    </xf>
    <xf numFmtId="167" fontId="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top" wrapText="1"/>
    </xf>
    <xf numFmtId="0" fontId="3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DDDD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44" customHeight="1">
      <c r="A1" s="1" t="inlineStr">
        <is>
          <t>PICK1 · MASTER TRACKER</t>
        </is>
      </c>
    </row>
    <row r="3" ht="22" customHeight="1">
      <c r="A3" s="2" t="inlineStr">
        <is>
          <t>How to use this</t>
        </is>
      </c>
    </row>
    <row r="4">
      <c r="A4" s="3" t="inlineStr">
        <is>
          <t>This sheet is the EXECUTION log. The strategy doc (launch/MASTER_STRATEGY.md) is the plan; this is the daily-update tracker.</t>
        </is>
      </c>
    </row>
    <row r="5">
      <c r="A5" s="3" t="inlineStr"/>
    </row>
    <row r="6">
      <c r="A6" s="3" t="inlineStr">
        <is>
          <t>Update cadence: every night before bed. Takes ~3 min.</t>
        </is>
      </c>
    </row>
    <row r="7">
      <c r="A7" s="3" t="inlineStr">
        <is>
          <t>Sundays: full audit + reallocation decisions for the week ahead.</t>
        </is>
      </c>
    </row>
    <row r="8">
      <c r="A8" s="3" t="inlineStr"/>
    </row>
    <row r="9" ht="22" customHeight="1">
      <c r="A9" s="2" t="inlineStr">
        <is>
          <t>The 8 tabs</t>
        </is>
      </c>
    </row>
    <row r="10">
      <c r="A10" s="3" t="inlineStr">
        <is>
          <t>1. KPI Dashboard         — top-level daily numbers (signups, CPL, etc.)</t>
        </is>
      </c>
    </row>
    <row r="11">
      <c r="A11" s="3" t="inlineStr">
        <is>
          <t>2. Content Calendar      — every post planned + posted, with perf</t>
        </is>
      </c>
    </row>
    <row r="12">
      <c r="A12" s="3" t="inlineStr">
        <is>
          <t>3. Ad Performance        — Meta + TikTok Spark per-day per-ad</t>
        </is>
      </c>
    </row>
    <row r="13">
      <c r="A13" s="3" t="inlineStr">
        <is>
          <t>4. Channel ROI           — which channel is winning, % of total (29 channels tracked)</t>
        </is>
      </c>
    </row>
    <row r="14">
      <c r="A14" s="3" t="inlineStr">
        <is>
          <t>5. Activations           — the 11 viral activations + state</t>
        </is>
      </c>
    </row>
    <row r="15">
      <c r="A15" s="3" t="inlineStr">
        <is>
          <t>6. Influencer Outreach   — the 20-DM micro-trade program</t>
        </is>
      </c>
    </row>
    <row r="16">
      <c r="A16" s="3" t="inlineStr">
        <is>
          <t>7. Pick Performance      — daily pick record (the receipts wall)</t>
        </is>
      </c>
    </row>
    <row r="17">
      <c r="A17" s="3" t="inlineStr">
        <is>
          <t>8. $100K Scenario        — what marketing spend would look like at $1K vs $25K vs $100K</t>
        </is>
      </c>
    </row>
    <row r="18">
      <c r="A18" s="3" t="inlineStr"/>
    </row>
    <row r="19" ht="22" customHeight="1">
      <c r="A19" s="2" t="inlineStr">
        <is>
          <t>North Star</t>
        </is>
      </c>
    </row>
    <row r="20">
      <c r="A20" s="3" t="inlineStr">
        <is>
          <t>1,500 waitlist signups by May 31. Stretch target: 2,500.</t>
        </is>
      </c>
    </row>
    <row r="21">
      <c r="A21" s="3" t="inlineStr">
        <is>
          <t>Budget: $1,000 total. CPL target: &lt; $1.50.</t>
        </is>
      </c>
    </row>
    <row r="22">
      <c r="A22" s="3" t="inlineStr"/>
    </row>
    <row r="23" ht="22" customHeight="1">
      <c r="A23" s="2" t="inlineStr">
        <is>
          <t>Quick references</t>
        </is>
      </c>
    </row>
    <row r="24">
      <c r="A24" s="3" t="inlineStr">
        <is>
          <t>Strategy doc:   launch/MASTER_STRATEGY.md</t>
        </is>
      </c>
    </row>
    <row r="25">
      <c r="A25" s="3" t="inlineStr">
        <is>
          <t>Site:           https://pick1.live</t>
        </is>
      </c>
    </row>
    <row r="26">
      <c r="A26" s="3" t="inlineStr">
        <is>
          <t>FB Page:        https://www.facebook.com/profile.php?id=61589631453496</t>
        </is>
      </c>
    </row>
    <row r="27">
      <c r="A27" s="3" t="inlineStr">
        <is>
          <t>Resend domain:  pick1.live (verified)</t>
        </is>
      </c>
    </row>
    <row r="28">
      <c r="A28" s="3" t="inlineStr">
        <is>
          <t>Supabase proj:  lgnjawngkiamlngcffrk (eu-central-2)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6" customWidth="1" min="4" max="4"/>
    <col width="13" customWidth="1" min="5" max="5"/>
    <col width="18" customWidth="1" min="6" max="6"/>
    <col width="12" customWidth="1" min="7" max="7"/>
    <col width="22" customWidth="1" min="8" max="8"/>
    <col width="14" customWidth="1" min="9" max="9"/>
    <col width="18" customWidth="1" min="10" max="10"/>
    <col width="14" customWidth="1" min="11" max="11"/>
    <col width="17" customWidth="1" min="12" max="12"/>
    <col width="35" customWidth="1" min="13" max="13"/>
  </cols>
  <sheetData>
    <row r="1" ht="32" customHeight="1">
      <c r="A1" s="4" t="inlineStr">
        <is>
          <t>PICK1 · DAILY KPI DASHBOARD (May 13 → May 31)</t>
        </is>
      </c>
    </row>
    <row r="2">
      <c r="A2" s="5" t="inlineStr">
        <is>
          <t>North Star: 1,500 waitlist signups by May 31  ·  Budget: $1,000</t>
        </is>
      </c>
    </row>
    <row r="3" ht="24" customHeight="1">
      <c r="A3" s="6" t="inlineStr">
        <is>
          <t>Day</t>
        </is>
      </c>
      <c r="B3" s="6" t="inlineStr">
        <is>
          <t>Date</t>
        </is>
      </c>
      <c r="C3" s="6" t="inlineStr">
        <is>
          <t>Signups (cumulative)</t>
        </is>
      </c>
      <c r="D3" s="6" t="inlineStr">
        <is>
          <t>Signups (today)</t>
        </is>
      </c>
      <c r="E3" s="6" t="inlineStr">
        <is>
          <t>Meta $ today</t>
        </is>
      </c>
      <c r="F3" s="6" t="inlineStr">
        <is>
          <t>Meta signups today</t>
        </is>
      </c>
      <c r="G3" s="6" t="inlineStr">
        <is>
          <t>Meta CPL</t>
        </is>
      </c>
      <c r="H3" s="6" t="inlineStr">
        <is>
          <t>Organic signups today</t>
        </is>
      </c>
      <c r="I3" s="6" t="inlineStr">
        <is>
          <t>IG followers</t>
        </is>
      </c>
      <c r="J3" s="6" t="inlineStr">
        <is>
          <t>TikTok followers</t>
        </is>
      </c>
      <c r="K3" s="6" t="inlineStr">
        <is>
          <t>Email open %</t>
        </is>
      </c>
      <c r="L3" s="6" t="inlineStr">
        <is>
          <t>Referral shares</t>
        </is>
      </c>
      <c r="M3" s="6" t="inlineStr">
        <is>
          <t>Notes</t>
        </is>
      </c>
    </row>
    <row r="4">
      <c r="A4" t="inlineStr">
        <is>
          <t>Day 1</t>
        </is>
      </c>
      <c r="B4" s="7" t="n">
        <v>46155</v>
      </c>
      <c r="C4" t="n">
        <v>1</v>
      </c>
      <c r="D4" t="n">
        <v>1</v>
      </c>
      <c r="G4" s="8">
        <f>IFERROR(E4/F4,"")</f>
        <v/>
      </c>
    </row>
    <row r="5">
      <c r="A5" t="inlineStr">
        <is>
          <t>Day 2</t>
        </is>
      </c>
      <c r="B5" s="7" t="n">
        <v>46156</v>
      </c>
      <c r="G5" s="8">
        <f>IFERROR(E5/F5,"")</f>
        <v/>
      </c>
    </row>
    <row r="6">
      <c r="A6" t="inlineStr">
        <is>
          <t>Day 3</t>
        </is>
      </c>
      <c r="B6" s="7" t="n">
        <v>46157</v>
      </c>
      <c r="G6" s="8">
        <f>IFERROR(E6/F6,"")</f>
        <v/>
      </c>
    </row>
    <row r="7">
      <c r="A7" t="inlineStr">
        <is>
          <t>Day 4</t>
        </is>
      </c>
      <c r="B7" s="7" t="n">
        <v>46158</v>
      </c>
      <c r="G7" s="8">
        <f>IFERROR(E7/F7,"")</f>
        <v/>
      </c>
    </row>
    <row r="8">
      <c r="A8" t="inlineStr">
        <is>
          <t>Day 5</t>
        </is>
      </c>
      <c r="B8" s="7" t="n">
        <v>46159</v>
      </c>
      <c r="G8" s="8">
        <f>IFERROR(E8/F8,"")</f>
        <v/>
      </c>
    </row>
    <row r="9">
      <c r="A9" t="inlineStr">
        <is>
          <t>Day 6</t>
        </is>
      </c>
      <c r="B9" s="7" t="n">
        <v>46160</v>
      </c>
      <c r="G9" s="8">
        <f>IFERROR(E9/F9,"")</f>
        <v/>
      </c>
    </row>
    <row r="10">
      <c r="A10" t="inlineStr">
        <is>
          <t>Day 7</t>
        </is>
      </c>
      <c r="B10" s="7" t="n">
        <v>46161</v>
      </c>
      <c r="G10" s="8">
        <f>IFERROR(E10/F10,"")</f>
        <v/>
      </c>
    </row>
    <row r="11">
      <c r="A11" t="inlineStr">
        <is>
          <t>Day 8</t>
        </is>
      </c>
      <c r="B11" s="7" t="n">
        <v>46162</v>
      </c>
      <c r="G11" s="8">
        <f>IFERROR(E11/F11,"")</f>
        <v/>
      </c>
    </row>
    <row r="12">
      <c r="A12" t="inlineStr">
        <is>
          <t>Day 9</t>
        </is>
      </c>
      <c r="B12" s="7" t="n">
        <v>46163</v>
      </c>
      <c r="G12" s="8">
        <f>IFERROR(E12/F12,"")</f>
        <v/>
      </c>
    </row>
    <row r="13">
      <c r="A13" t="inlineStr">
        <is>
          <t>Day 10</t>
        </is>
      </c>
      <c r="B13" s="7" t="n">
        <v>46164</v>
      </c>
      <c r="G13" s="8">
        <f>IFERROR(E13/F13,"")</f>
        <v/>
      </c>
    </row>
    <row r="14">
      <c r="A14" t="inlineStr">
        <is>
          <t>Day 11</t>
        </is>
      </c>
      <c r="B14" s="7" t="n">
        <v>46165</v>
      </c>
      <c r="G14" s="8">
        <f>IFERROR(E14/F14,"")</f>
        <v/>
      </c>
    </row>
    <row r="15">
      <c r="A15" t="inlineStr">
        <is>
          <t>Day 12</t>
        </is>
      </c>
      <c r="B15" s="7" t="n">
        <v>46166</v>
      </c>
      <c r="G15" s="8">
        <f>IFERROR(E15/F15,"")</f>
        <v/>
      </c>
    </row>
    <row r="16">
      <c r="A16" t="inlineStr">
        <is>
          <t>Day 13</t>
        </is>
      </c>
      <c r="B16" s="7" t="n">
        <v>46167</v>
      </c>
      <c r="G16" s="8">
        <f>IFERROR(E16/F16,"")</f>
        <v/>
      </c>
    </row>
    <row r="17">
      <c r="A17" t="inlineStr">
        <is>
          <t>Day 14</t>
        </is>
      </c>
      <c r="B17" s="7" t="n">
        <v>46168</v>
      </c>
      <c r="G17" s="8">
        <f>IFERROR(E17/F17,"")</f>
        <v/>
      </c>
    </row>
    <row r="18">
      <c r="A18" t="inlineStr">
        <is>
          <t>Day 15</t>
        </is>
      </c>
      <c r="B18" s="7" t="n">
        <v>46169</v>
      </c>
      <c r="G18" s="8">
        <f>IFERROR(E18/F18,"")</f>
        <v/>
      </c>
    </row>
    <row r="19">
      <c r="A19" t="inlineStr">
        <is>
          <t>Day 16</t>
        </is>
      </c>
      <c r="B19" s="7" t="n">
        <v>46170</v>
      </c>
      <c r="G19" s="8">
        <f>IFERROR(E19/F19,"")</f>
        <v/>
      </c>
    </row>
    <row r="20">
      <c r="A20" t="inlineStr">
        <is>
          <t>Day 17</t>
        </is>
      </c>
      <c r="B20" s="7" t="n">
        <v>46171</v>
      </c>
      <c r="G20" s="8">
        <f>IFERROR(E20/F20,"")</f>
        <v/>
      </c>
    </row>
    <row r="21">
      <c r="A21" t="inlineStr">
        <is>
          <t>Day 18</t>
        </is>
      </c>
      <c r="B21" s="7" t="n">
        <v>46172</v>
      </c>
      <c r="G21" s="8">
        <f>IFERROR(E21/F21,"")</f>
        <v/>
      </c>
    </row>
    <row r="22">
      <c r="A22" t="inlineStr">
        <is>
          <t>Day 19</t>
        </is>
      </c>
      <c r="B22" s="7" t="n">
        <v>46173</v>
      </c>
      <c r="G22" s="8">
        <f>IFERROR(E22/F22,"")</f>
        <v/>
      </c>
    </row>
  </sheetData>
  <mergeCells count="2">
    <mergeCell ref="A2:M2"/>
    <mergeCell ref="A1:M1"/>
  </mergeCells>
  <conditionalFormatting sqref="G4:G22">
    <cfRule type="cellIs" priority="1" operator="lessThan" dxfId="0">
      <formula>1.5</formula>
    </cfRule>
    <cfRule type="cellIs" priority="2" operator="between" dxfId="1">
      <formula>1.5</formula>
      <formula>3</formula>
    </cfRule>
    <cfRule type="cellIs" priority="3" operator="greaterThan" dxfId="2">
      <formula>3</formula>
    </cfRule>
  </conditionalFormatting>
  <conditionalFormatting sqref="C4:C22">
    <cfRule type="colorScale" priority="4">
      <colorScale>
        <cfvo type="num" val="0"/>
        <cfvo type="num" val="750"/>
        <cfvo type="num" val="1500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42" customWidth="1" min="5" max="5"/>
    <col width="11" customWidth="1" min="6" max="6"/>
    <col width="28" customWidth="1" min="7" max="7"/>
    <col width="9" customWidth="1" min="8" max="8"/>
    <col width="9" customWidth="1" min="9" max="9"/>
    <col width="9" customWidth="1" min="10" max="10"/>
    <col width="18" customWidth="1" min="11" max="11"/>
  </cols>
  <sheetData>
    <row r="1" ht="32" customHeight="1">
      <c r="A1" s="4" t="inlineStr">
        <is>
          <t>CONTENT CALENDAR — every post across every channel</t>
        </is>
      </c>
    </row>
    <row r="2" ht="24" customHeight="1">
      <c r="A2" s="6" t="inlineStr">
        <is>
          <t>Date</t>
        </is>
      </c>
      <c r="B2" s="6" t="inlineStr">
        <is>
          <t>Channel</t>
        </is>
      </c>
      <c r="C2" s="6" t="inlineStr">
        <is>
          <t>Format</t>
        </is>
      </c>
      <c r="D2" s="6" t="inlineStr">
        <is>
          <t>Pillar</t>
        </is>
      </c>
      <c r="E2" s="6" t="inlineStr">
        <is>
          <t>Topic / Hook</t>
        </is>
      </c>
      <c r="F2" s="6" t="inlineStr">
        <is>
          <t>Status</t>
        </is>
      </c>
      <c r="G2" s="6" t="inlineStr">
        <is>
          <t>URL</t>
        </is>
      </c>
      <c r="H2" s="6" t="inlineStr">
        <is>
          <t>Views</t>
        </is>
      </c>
      <c r="I2" s="6" t="inlineStr">
        <is>
          <t>Likes</t>
        </is>
      </c>
      <c r="J2" s="6" t="inlineStr">
        <is>
          <t>Shares</t>
        </is>
      </c>
      <c r="K2" s="6" t="inlineStr">
        <is>
          <t>Signups attributed</t>
        </is>
      </c>
    </row>
    <row r="3">
      <c r="A3" s="7" t="inlineStr">
        <is>
          <t>2026-05-13</t>
        </is>
      </c>
      <c r="B3" t="inlineStr">
        <is>
          <t>TikTok</t>
        </is>
      </c>
      <c r="C3" t="inlineStr">
        <is>
          <t>Reel</t>
        </is>
      </c>
      <c r="D3" t="inlineStr">
        <is>
          <t>Receipt</t>
        </is>
      </c>
      <c r="E3" t="inlineStr">
        <is>
          <t>Yesterday 2-1 (SAS 126-97 lock)</t>
        </is>
      </c>
      <c r="F3" t="inlineStr">
        <is>
          <t>Drafted</t>
        </is>
      </c>
      <c r="G3" t="inlineStr"/>
      <c r="H3" t="n">
        <v>0</v>
      </c>
      <c r="I3" t="n">
        <v>0</v>
      </c>
      <c r="J3" t="n">
        <v>0</v>
      </c>
      <c r="K3" t="n">
        <v>0</v>
      </c>
    </row>
    <row r="4">
      <c r="A4" s="7" t="inlineStr">
        <is>
          <t>2026-05-13</t>
        </is>
      </c>
      <c r="B4" t="inlineStr">
        <is>
          <t>TikTok</t>
        </is>
      </c>
      <c r="C4" t="inlineStr">
        <is>
          <t>Reel</t>
        </is>
      </c>
      <c r="D4" t="inlineStr">
        <is>
          <t>Daily Pick</t>
        </is>
      </c>
      <c r="E4" t="inlineStr">
        <is>
          <t>Tonight's lock: MCI 81.2% confidence</t>
        </is>
      </c>
      <c r="F4" t="inlineStr">
        <is>
          <t>Drafted</t>
        </is>
      </c>
      <c r="G4" t="inlineStr"/>
      <c r="H4" t="n">
        <v>0</v>
      </c>
      <c r="I4" t="n">
        <v>0</v>
      </c>
      <c r="J4" t="n">
        <v>0</v>
      </c>
      <c r="K4" t="n">
        <v>0</v>
      </c>
    </row>
    <row r="5">
      <c r="A5" s="7" t="inlineStr">
        <is>
          <t>2026-05-13</t>
        </is>
      </c>
      <c r="B5" t="inlineStr">
        <is>
          <t>IG</t>
        </is>
      </c>
      <c r="C5" t="inlineStr">
        <is>
          <t>Static</t>
        </is>
      </c>
      <c r="D5" t="inlineStr">
        <is>
          <t>Receipt</t>
        </is>
      </c>
      <c r="E5" t="inlineStr">
        <is>
          <t>Post #2: SAS 126-97 bold static</t>
        </is>
      </c>
      <c r="F5" t="inlineStr">
        <is>
          <t>To render</t>
        </is>
      </c>
      <c r="G5" t="inlineStr"/>
      <c r="H5" t="n">
        <v>0</v>
      </c>
      <c r="I5" t="n">
        <v>0</v>
      </c>
      <c r="J5" t="n">
        <v>0</v>
      </c>
      <c r="K5" t="n">
        <v>0</v>
      </c>
    </row>
    <row r="6">
      <c r="A6" s="7" t="inlineStr">
        <is>
          <t>2026-05-13</t>
        </is>
      </c>
      <c r="B6" t="inlineStr">
        <is>
          <t>IG</t>
        </is>
      </c>
      <c r="C6" t="inlineStr">
        <is>
          <t>Story</t>
        </is>
      </c>
      <c r="D6" t="inlineStr">
        <is>
          <t>Daily Pick</t>
        </is>
      </c>
      <c r="E6" t="inlineStr">
        <is>
          <t>Pick locked 🔒 (link sticker)</t>
        </is>
      </c>
      <c r="F6" t="inlineStr">
        <is>
          <t>Drafted</t>
        </is>
      </c>
      <c r="G6" t="inlineStr"/>
      <c r="H6" t="n">
        <v>0</v>
      </c>
      <c r="I6" t="n">
        <v>0</v>
      </c>
      <c r="J6" t="n">
        <v>0</v>
      </c>
      <c r="K6" t="n">
        <v>0</v>
      </c>
    </row>
    <row r="7">
      <c r="A7" s="7" t="inlineStr">
        <is>
          <t>2026-05-13</t>
        </is>
      </c>
      <c r="B7" t="inlineStr">
        <is>
          <t>Twitter</t>
        </is>
      </c>
      <c r="C7" t="inlineStr">
        <is>
          <t>Tweet</t>
        </is>
      </c>
      <c r="D7" t="inlineStr">
        <is>
          <t>Receipt</t>
        </is>
      </c>
      <c r="E7" t="inlineStr">
        <is>
          <t>Yesterday: SAS 126-97 + tonight tease</t>
        </is>
      </c>
      <c r="F7" t="inlineStr">
        <is>
          <t>Drafted</t>
        </is>
      </c>
      <c r="G7" t="inlineStr"/>
      <c r="H7" t="n">
        <v>0</v>
      </c>
      <c r="I7" t="n">
        <v>0</v>
      </c>
      <c r="J7" t="n">
        <v>0</v>
      </c>
      <c r="K7" t="n">
        <v>0</v>
      </c>
    </row>
    <row r="8">
      <c r="A8" s="7" t="inlineStr">
        <is>
          <t>2026-05-13</t>
        </is>
      </c>
      <c r="B8" t="inlineStr">
        <is>
          <t>Twitter</t>
        </is>
      </c>
      <c r="C8" t="inlineStr">
        <is>
          <t>Tweet</t>
        </is>
      </c>
      <c r="D8" t="inlineStr">
        <is>
          <t>Daily Pick</t>
        </is>
      </c>
      <c r="E8" t="inlineStr">
        <is>
          <t>3pm: MCI lock reveal</t>
        </is>
      </c>
      <c r="F8" t="inlineStr">
        <is>
          <t>Scheduled</t>
        </is>
      </c>
      <c r="G8" t="inlineStr"/>
      <c r="H8" t="n">
        <v>0</v>
      </c>
      <c r="I8" t="n">
        <v>0</v>
      </c>
      <c r="J8" t="n">
        <v>0</v>
      </c>
      <c r="K8" t="n">
        <v>0</v>
      </c>
    </row>
    <row r="9">
      <c r="A9" s="7" t="inlineStr">
        <is>
          <t>2026-05-13</t>
        </is>
      </c>
      <c r="B9" t="inlineStr">
        <is>
          <t>Reddit</t>
        </is>
      </c>
      <c r="C9" t="inlineStr">
        <is>
          <t>Comment</t>
        </is>
      </c>
      <c r="D9" t="inlineStr">
        <is>
          <t>Receipt</t>
        </is>
      </c>
      <c r="E9" t="inlineStr">
        <is>
          <t>r/sportsbook daily-talk thread</t>
        </is>
      </c>
      <c r="F9" t="inlineStr">
        <is>
          <t>Drafted</t>
        </is>
      </c>
      <c r="G9" t="inlineStr"/>
      <c r="H9" t="n">
        <v>0</v>
      </c>
      <c r="I9" t="n">
        <v>0</v>
      </c>
      <c r="J9" t="n">
        <v>0</v>
      </c>
      <c r="K9" t="n">
        <v>0</v>
      </c>
    </row>
    <row r="10">
      <c r="A10" s="7" t="inlineStr">
        <is>
          <t>2026-05-13</t>
        </is>
      </c>
      <c r="B10" t="inlineStr">
        <is>
          <t>Meta</t>
        </is>
      </c>
      <c r="C10" t="inlineStr">
        <is>
          <t>Static Ad</t>
        </is>
      </c>
      <c r="D10" t="inlineStr">
        <is>
          <t>Receipt</t>
        </is>
      </c>
      <c r="E10" t="inlineStr">
        <is>
          <t>Ad 1: 'Yesterday: Spurs 126-97 ✓'</t>
        </is>
      </c>
      <c r="F10" t="inlineStr">
        <is>
          <t>To render</t>
        </is>
      </c>
      <c r="G10" t="inlineStr"/>
      <c r="H10" t="n">
        <v>0</v>
      </c>
      <c r="I10" t="n">
        <v>0</v>
      </c>
      <c r="J10" t="n">
        <v>0</v>
      </c>
      <c r="K10" t="n">
        <v>0</v>
      </c>
    </row>
    <row r="11">
      <c r="A11" s="7" t="inlineStr">
        <is>
          <t>2026-05-13</t>
        </is>
      </c>
      <c r="B11" t="inlineStr">
        <is>
          <t>Meta</t>
        </is>
      </c>
      <c r="C11" t="inlineStr">
        <is>
          <t>Static Ad</t>
        </is>
      </c>
      <c r="D11" t="inlineStr">
        <is>
          <t>Daily Pick</t>
        </is>
      </c>
      <c r="E11" t="inlineStr">
        <is>
          <t>Ad 2: 'Tonight's lock 81.2%'</t>
        </is>
      </c>
      <c r="F11" t="inlineStr">
        <is>
          <t>To render</t>
        </is>
      </c>
      <c r="G11" t="inlineStr"/>
      <c r="H11" t="n">
        <v>0</v>
      </c>
      <c r="I11" t="n">
        <v>0</v>
      </c>
      <c r="J11" t="n">
        <v>0</v>
      </c>
      <c r="K11" t="n">
        <v>0</v>
      </c>
    </row>
    <row r="12">
      <c r="A12" s="7" t="inlineStr">
        <is>
          <t>2026-05-13</t>
        </is>
      </c>
      <c r="B12" t="inlineStr">
        <is>
          <t>Meta</t>
        </is>
      </c>
      <c r="C12" t="inlineStr">
        <is>
          <t>Static Ad</t>
        </is>
      </c>
      <c r="D12" t="inlineStr">
        <is>
          <t>Positioning</t>
        </is>
      </c>
      <c r="E12" t="inlineStr">
        <is>
          <t>Ad 3: 'One pick · 9 sports'</t>
        </is>
      </c>
      <c r="F12" t="inlineStr">
        <is>
          <t>To render</t>
        </is>
      </c>
      <c r="G12" t="inlineStr"/>
      <c r="H12" t="n">
        <v>0</v>
      </c>
      <c r="I12" t="n">
        <v>0</v>
      </c>
      <c r="J12" t="n">
        <v>0</v>
      </c>
      <c r="K12" t="n">
        <v>0</v>
      </c>
    </row>
  </sheetData>
  <mergeCells count="1">
    <mergeCell ref="A1:K1"/>
  </mergeCells>
  <conditionalFormatting sqref="F3:F212">
    <cfRule type="cellIs" priority="1" operator="equal" dxfId="0">
      <formula>"Posted"</formula>
    </cfRule>
    <cfRule type="cellIs" priority="2" operator="equal" dxfId="1">
      <formula>"Scheduled"</formula>
    </cfRule>
    <cfRule type="cellIs" priority="3" operator="equal" dxfId="3">
      <formula>"Drafted"</formula>
    </cfRule>
    <cfRule type="cellIs" priority="4" operator="equal" dxfId="4">
      <formula>"To render"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25" customWidth="1" min="4" max="4"/>
    <col width="10" customWidth="1" min="5" max="5"/>
    <col width="13" customWidth="1" min="6" max="6"/>
    <col width="9" customWidth="1" min="7" max="7"/>
    <col width="10" customWidth="1" min="8" max="8"/>
    <col width="13" customWidth="1" min="9" max="9"/>
    <col width="10" customWidth="1" min="10" max="10"/>
  </cols>
  <sheetData>
    <row r="1" ht="32" customHeight="1">
      <c r="A1" s="4" t="inlineStr">
        <is>
          <t>AD PERFORMANCE — Meta + TikTok Spark, day-by-day</t>
        </is>
      </c>
    </row>
    <row r="2" ht="24" customHeight="1">
      <c r="A2" s="6" t="inlineStr">
        <is>
          <t>Date</t>
        </is>
      </c>
      <c r="B2" s="6" t="inlineStr">
        <is>
          <t>Platform</t>
        </is>
      </c>
      <c r="C2" s="6" t="inlineStr">
        <is>
          <t>Campaign</t>
        </is>
      </c>
      <c r="D2" s="6" t="inlineStr">
        <is>
          <t>Ad / Creative</t>
        </is>
      </c>
      <c r="E2" s="6" t="inlineStr">
        <is>
          <t>Spend</t>
        </is>
      </c>
      <c r="F2" s="6" t="inlineStr">
        <is>
          <t>Impressions</t>
        </is>
      </c>
      <c r="G2" s="6" t="inlineStr">
        <is>
          <t>Clicks</t>
        </is>
      </c>
      <c r="H2" s="6" t="inlineStr">
        <is>
          <t>CPC</t>
        </is>
      </c>
      <c r="I2" s="6" t="inlineStr">
        <is>
          <t>Conversions</t>
        </is>
      </c>
      <c r="J2" s="6" t="inlineStr">
        <is>
          <t>CPL</t>
        </is>
      </c>
    </row>
    <row r="3">
      <c r="A3" s="7" t="n">
        <v>46155</v>
      </c>
      <c r="B3" t="inlineStr">
        <is>
          <t>Meta</t>
        </is>
      </c>
      <c r="C3" t="inlineStr">
        <is>
          <t>LEAD-US-broad-20260513</t>
        </is>
      </c>
      <c r="D3" t="inlineStr">
        <is>
          <t>Ad: Receipts</t>
        </is>
      </c>
      <c r="H3" s="8">
        <f>IFERROR(E3/G3,"")</f>
        <v/>
      </c>
      <c r="J3" s="8">
        <f>IFERROR(E3/I3,"")</f>
        <v/>
      </c>
    </row>
    <row r="4">
      <c r="A4" s="7" t="n">
        <v>46155</v>
      </c>
      <c r="B4" t="inlineStr">
        <is>
          <t>Meta</t>
        </is>
      </c>
      <c r="C4" t="inlineStr">
        <is>
          <t>LEAD-US-broad-20260513</t>
        </is>
      </c>
      <c r="D4" t="inlineStr">
        <is>
          <t>Ad: Lock</t>
        </is>
      </c>
      <c r="H4" s="8">
        <f>IFERROR(E4/G4,"")</f>
        <v/>
      </c>
      <c r="J4" s="8">
        <f>IFERROR(E4/I4,"")</f>
        <v/>
      </c>
    </row>
    <row r="5">
      <c r="A5" s="7" t="n">
        <v>46155</v>
      </c>
      <c r="B5" t="inlineStr">
        <is>
          <t>Meta</t>
        </is>
      </c>
      <c r="C5" t="inlineStr">
        <is>
          <t>LEAD-US-broad-20260513</t>
        </is>
      </c>
      <c r="D5" t="inlineStr">
        <is>
          <t>Ad: Positioning</t>
        </is>
      </c>
      <c r="H5" s="8">
        <f>IFERROR(E5/G5,"")</f>
        <v/>
      </c>
      <c r="J5" s="8">
        <f>IFERROR(E5/I5,"")</f>
        <v/>
      </c>
    </row>
  </sheetData>
  <mergeCells count="1">
    <mergeCell ref="A1:J1"/>
  </mergeCells>
  <conditionalFormatting sqref="J3:J500">
    <cfRule type="cellIs" priority="1" operator="lessThan" dxfId="0">
      <formula>1.5</formula>
    </cfRule>
    <cfRule type="cellIs" priority="2" operator="greaterThan" dxfId="2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11" customWidth="1" min="3" max="3"/>
    <col width="9" customWidth="1" min="4" max="4"/>
    <col width="20" customWidth="1" min="5" max="5"/>
    <col width="40" customWidth="1" min="6" max="6"/>
  </cols>
  <sheetData>
    <row r="1" ht="32" customHeight="1">
      <c r="A1" s="4" t="inlineStr">
        <is>
          <t>CHANNEL ROI — where are signups actually coming from?</t>
        </is>
      </c>
    </row>
    <row r="2" ht="24" customHeight="1">
      <c r="A2" s="6" t="inlineStr">
        <is>
          <t>Channel</t>
        </is>
      </c>
      <c r="B2" s="6" t="inlineStr">
        <is>
          <t>$ Spent</t>
        </is>
      </c>
      <c r="C2" s="6" t="inlineStr">
        <is>
          <t>Signups</t>
        </is>
      </c>
      <c r="D2" s="6" t="inlineStr">
        <is>
          <t>CPL</t>
        </is>
      </c>
      <c r="E2" s="6" t="inlineStr">
        <is>
          <t>% of total signups</t>
        </is>
      </c>
      <c r="F2" s="6" t="inlineStr">
        <is>
          <t>Notes</t>
        </is>
      </c>
    </row>
    <row r="3">
      <c r="A3" t="inlineStr">
        <is>
          <t>Meta Ads (cold)</t>
        </is>
      </c>
      <c r="D3" s="8">
        <f>IFERROR(B3/C3,"")</f>
        <v/>
      </c>
      <c r="E3" s="9">
        <f>IFERROR(C3/SUM($C$3:$C$31),"")</f>
        <v/>
      </c>
    </row>
    <row r="4">
      <c r="A4" t="inlineStr">
        <is>
          <t>Meta Ads (retargeting)</t>
        </is>
      </c>
      <c r="D4" s="8">
        <f>IFERROR(B4/C4,"")</f>
        <v/>
      </c>
      <c r="E4" s="9">
        <f>IFERROR(C4/SUM($C$3:$C$31),"")</f>
        <v/>
      </c>
    </row>
    <row r="5">
      <c r="A5" t="inlineStr">
        <is>
          <t>TikTok organic</t>
        </is>
      </c>
      <c r="D5" s="8">
        <f>IFERROR(B5/C5,"")</f>
        <v/>
      </c>
      <c r="E5" s="9">
        <f>IFERROR(C5/SUM($C$3:$C$31),"")</f>
        <v/>
      </c>
    </row>
    <row r="6">
      <c r="A6" t="inlineStr">
        <is>
          <t>TikTok Spark (paid boost)</t>
        </is>
      </c>
      <c r="D6" s="8">
        <f>IFERROR(B6/C6,"")</f>
        <v/>
      </c>
      <c r="E6" s="9">
        <f>IFERROR(C6/SUM($C$3:$C$31),"")</f>
        <v/>
      </c>
    </row>
    <row r="7">
      <c r="A7" t="inlineStr">
        <is>
          <t>X / Twitter organic</t>
        </is>
      </c>
      <c r="D7" s="8">
        <f>IFERROR(B7/C7,"")</f>
        <v/>
      </c>
      <c r="E7" s="9">
        <f>IFERROR(C7/SUM($C$3:$C$31),"")</f>
        <v/>
      </c>
    </row>
    <row r="8">
      <c r="A8" t="inlineStr">
        <is>
          <t>Twitter Daily Drop</t>
        </is>
      </c>
      <c r="D8" s="8">
        <f>IFERROR(B8/C8,"")</f>
        <v/>
      </c>
      <c r="E8" s="9">
        <f>IFERROR(C8/SUM($C$3:$C$31),"")</f>
        <v/>
      </c>
    </row>
    <row r="9">
      <c r="A9" t="inlineStr">
        <is>
          <t>Instagram organic</t>
        </is>
      </c>
      <c r="D9" s="8">
        <f>IFERROR(B9/C9,"")</f>
        <v/>
      </c>
      <c r="E9" s="9">
        <f>IFERROR(C9/SUM($C$3:$C$31),"")</f>
        <v/>
      </c>
    </row>
    <row r="10">
      <c r="A10" t="inlineStr">
        <is>
          <t>Instagram bio link</t>
        </is>
      </c>
      <c r="D10" s="8">
        <f>IFERROR(B10/C10,"")</f>
        <v/>
      </c>
      <c r="E10" s="9">
        <f>IFERROR(C10/SUM($C$3:$C$31),"")</f>
        <v/>
      </c>
    </row>
    <row r="11">
      <c r="A11" t="inlineStr">
        <is>
          <t>Facebook Page organic</t>
        </is>
      </c>
      <c r="D11" s="8">
        <f>IFERROR(B11/C11,"")</f>
        <v/>
      </c>
      <c r="E11" s="9">
        <f>IFERROR(C11/SUM($C$3:$C$31),"")</f>
        <v/>
      </c>
    </row>
    <row r="12">
      <c r="A12" t="inlineStr">
        <is>
          <t>Reddit r/SideProject</t>
        </is>
      </c>
      <c r="D12" s="8">
        <f>IFERROR(B12/C12,"")</f>
        <v/>
      </c>
      <c r="E12" s="9">
        <f>IFERROR(C12/SUM($C$3:$C$31),"")</f>
        <v/>
      </c>
    </row>
    <row r="13">
      <c r="A13" t="inlineStr">
        <is>
          <t>Reddit r/giveaways</t>
        </is>
      </c>
      <c r="D13" s="8">
        <f>IFERROR(B13/C13,"")</f>
        <v/>
      </c>
      <c r="E13" s="9">
        <f>IFERROR(C13/SUM($C$3:$C$31),"")</f>
        <v/>
      </c>
    </row>
    <row r="14">
      <c r="A14" t="inlineStr">
        <is>
          <t>Reddit r/contests</t>
        </is>
      </c>
      <c r="D14" s="8">
        <f>IFERROR(B14/C14,"")</f>
        <v/>
      </c>
      <c r="E14" s="9">
        <f>IFERROR(C14/SUM($C$3:$C$31),"")</f>
        <v/>
      </c>
    </row>
    <row r="15">
      <c r="A15" t="inlineStr">
        <is>
          <t>Reddit r/sportsbook</t>
        </is>
      </c>
      <c r="D15" s="8">
        <f>IFERROR(B15/C15,"")</f>
        <v/>
      </c>
      <c r="E15" s="9">
        <f>IFERROR(C15/SUM($C$3:$C$31),"")</f>
        <v/>
      </c>
    </row>
    <row r="16">
      <c r="A16" t="inlineStr">
        <is>
          <t>Hacker News (Show HN)</t>
        </is>
      </c>
      <c r="D16" s="8">
        <f>IFERROR(B16/C16,"")</f>
        <v/>
      </c>
      <c r="E16" s="9">
        <f>IFERROR(C16/SUM($C$3:$C$31),"")</f>
        <v/>
      </c>
    </row>
    <row r="17">
      <c r="A17" t="inlineStr">
        <is>
          <t>Indie Hackers milestone</t>
        </is>
      </c>
      <c r="D17" s="8">
        <f>IFERROR(B17/C17,"")</f>
        <v/>
      </c>
      <c r="E17" s="9">
        <f>IFERROR(C17/SUM($C$3:$C$31),"")</f>
        <v/>
      </c>
    </row>
    <row r="18">
      <c r="A18" t="inlineStr">
        <is>
          <t>LinkedIn (founder post)</t>
        </is>
      </c>
      <c r="D18" s="8">
        <f>IFERROR(B18/C18,"")</f>
        <v/>
      </c>
      <c r="E18" s="9">
        <f>IFERROR(C18/SUM($C$3:$C$31),"")</f>
        <v/>
      </c>
    </row>
    <row r="19">
      <c r="A19" t="inlineStr">
        <is>
          <t>Influencer trades (organic)</t>
        </is>
      </c>
      <c r="D19" s="8">
        <f>IFERROR(B19/C19,"")</f>
        <v/>
      </c>
      <c r="E19" s="9">
        <f>IFERROR(C19/SUM($C$3:$C$31),"")</f>
        <v/>
      </c>
    </row>
    <row r="20">
      <c r="A20" t="inlineStr">
        <is>
          <t>Influencer (paid)</t>
        </is>
      </c>
      <c r="D20" s="8">
        <f>IFERROR(B20/C20,"")</f>
        <v/>
      </c>
      <c r="E20" s="9">
        <f>IFERROR(C20/SUM($C$3:$C$31),"")</f>
        <v/>
      </c>
    </row>
    <row r="21">
      <c r="A21" t="inlineStr">
        <is>
          <t>ProductHunt launch</t>
        </is>
      </c>
      <c r="D21" s="8">
        <f>IFERROR(B21/C21,"")</f>
        <v/>
      </c>
      <c r="E21" s="9">
        <f>IFERROR(C21/SUM($C$3:$C$31),"")</f>
        <v/>
      </c>
    </row>
    <row r="22">
      <c r="A22" t="inlineStr">
        <is>
          <t>Founder essay drop</t>
        </is>
      </c>
      <c r="D22" s="8">
        <f>IFERROR(B22/C22,"")</f>
        <v/>
      </c>
      <c r="E22" s="9">
        <f>IFERROR(C22/SUM($C$3:$C$31),"")</f>
        <v/>
      </c>
    </row>
    <row r="23">
      <c r="A23" t="inlineStr">
        <is>
          <t>Email — welcome CTA (Resend)</t>
        </is>
      </c>
      <c r="D23" s="8">
        <f>IFERROR(B23/C23,"")</f>
        <v/>
      </c>
      <c r="E23" s="9">
        <f>IFERROR(C23/SUM($C$3:$C$31),"")</f>
        <v/>
      </c>
    </row>
    <row r="24">
      <c r="A24" t="inlineStr">
        <is>
          <t>Email — daily pick CTA (Resend)</t>
        </is>
      </c>
      <c r="D24" s="8">
        <f>IFERROR(B24/C24,"")</f>
        <v/>
      </c>
      <c r="E24" s="9">
        <f>IFERROR(C24/SUM($C$3:$C$31),"")</f>
        <v/>
      </c>
    </row>
    <row r="25">
      <c r="A25" t="inlineStr">
        <is>
          <t>Email — blast to existing list</t>
        </is>
      </c>
      <c r="D25" s="8">
        <f>IFERROR(B25/C25,"")</f>
        <v/>
      </c>
      <c r="E25" s="9">
        <f>IFERROR(C25/SUM($C$3:$C$31),"")</f>
        <v/>
      </c>
    </row>
    <row r="26">
      <c r="A26" t="inlineStr">
        <is>
          <t>Gleam sweepstakes (organic)</t>
        </is>
      </c>
      <c r="D26" s="8">
        <f>IFERROR(B26/C26,"")</f>
        <v/>
      </c>
      <c r="E26" s="9">
        <f>IFERROR(C26/SUM($C$3:$C$31),"")</f>
        <v/>
      </c>
    </row>
    <row r="27">
      <c r="A27" t="inlineStr">
        <is>
          <t>KingSumo viral giveaway</t>
        </is>
      </c>
      <c r="D27" s="8">
        <f>IFERROR(B27/C27,"")</f>
        <v/>
      </c>
      <c r="E27" s="9">
        <f>IFERROR(C27/SUM($C$3:$C$31),"")</f>
        <v/>
      </c>
    </row>
    <row r="28">
      <c r="A28" t="inlineStr">
        <is>
          <t>SparkLoop newsletter cross-promo</t>
        </is>
      </c>
      <c r="D28" s="8">
        <f>IFERROR(B28/C28,"")</f>
        <v/>
      </c>
      <c r="E28" s="9">
        <f>IFERROR(C28/SUM($C$3:$C$31),"")</f>
        <v/>
      </c>
    </row>
    <row r="29">
      <c r="A29" t="inlineStr">
        <is>
          <t>Sweep aggregator submissions</t>
        </is>
      </c>
      <c r="D29" s="8">
        <f>IFERROR(B29/C29,"")</f>
        <v/>
      </c>
      <c r="E29" s="9">
        <f>IFERROR(C29/SUM($C$3:$C$31),"")</f>
        <v/>
      </c>
    </row>
    <row r="30">
      <c r="A30" t="inlineStr">
        <is>
          <t>AI directory submissions</t>
        </is>
      </c>
      <c r="D30" s="8">
        <f>IFERROR(B30/C30,"")</f>
        <v/>
      </c>
      <c r="E30" s="9">
        <f>IFERROR(C30/SUM($C$3:$C$31),"")</f>
        <v/>
      </c>
    </row>
    <row r="31">
      <c r="A31" t="inlineStr">
        <is>
          <t>Direct / unknown</t>
        </is>
      </c>
      <c r="D31" s="8">
        <f>IFERROR(B31/C31,"")</f>
        <v/>
      </c>
      <c r="E31" s="9">
        <f>IFERROR(C31/SUM($C$3:$C$31),"")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22" customWidth="1" min="3" max="3"/>
    <col width="11" customWidth="1" min="4" max="4"/>
    <col width="28" customWidth="1" min="5" max="5"/>
    <col width="55" customWidth="1" min="6" max="6"/>
  </cols>
  <sheetData>
    <row r="1" ht="32" customHeight="1">
      <c r="A1" s="4" t="inlineStr">
        <is>
          <t>VIRAL ACTIVATIONS — the 5 plays + status</t>
        </is>
      </c>
    </row>
    <row r="2" ht="24" customHeight="1">
      <c r="A2" s="6" t="inlineStr">
        <is>
          <t>#</t>
        </is>
      </c>
      <c r="B2" s="6" t="inlineStr">
        <is>
          <t>Activation</t>
        </is>
      </c>
      <c r="C2" s="6" t="inlineStr">
        <is>
          <t>Target launch</t>
        </is>
      </c>
      <c r="D2" s="6" t="inlineStr">
        <is>
          <t>Status</t>
        </is>
      </c>
      <c r="E2" s="6" t="inlineStr">
        <is>
          <t>Owner</t>
        </is>
      </c>
      <c r="F2" s="6" t="inlineStr">
        <is>
          <t>Notes</t>
        </is>
      </c>
    </row>
    <row r="3" ht="38" customHeight="1">
      <c r="A3" t="n">
        <v>1</v>
      </c>
      <c r="B3" t="inlineStr">
        <is>
          <t>Position-jumping referral</t>
        </is>
      </c>
      <c r="C3" t="inlineStr">
        <is>
          <t>Day 1 (May 13)</t>
        </is>
      </c>
      <c r="D3" t="inlineStr">
        <is>
          <t>LIVE</t>
        </is>
      </c>
      <c r="E3" t="inlineStr">
        <is>
          <t>Claude</t>
        </is>
      </c>
      <c r="F3" s="10" t="inlineStr">
        <is>
          <t>Every signup gets pick1.live/?r=&lt;code&gt;. +100 positions per ref. 3 / 10 / 25 reward tiers.</t>
        </is>
      </c>
    </row>
    <row r="4" ht="38" customHeight="1">
      <c r="A4" t="n">
        <v>2</v>
      </c>
      <c r="B4" t="inlineStr">
        <is>
          <t>Public Accountability Bet</t>
        </is>
      </c>
      <c r="C4" t="inlineStr">
        <is>
          <t>Day 8 (May 20)</t>
        </is>
      </c>
      <c r="D4" t="inlineStr">
        <is>
          <t>Planned</t>
        </is>
      </c>
      <c r="E4" t="inlineStr">
        <is>
          <t>Noa</t>
        </is>
      </c>
      <c r="F4" s="10" t="inlineStr">
        <is>
          <t>'If locks lose at &lt; 60% over 30 days, first paid month refunded.' Needs public dashboard.</t>
        </is>
      </c>
    </row>
    <row r="5" ht="38" customHeight="1">
      <c r="A5" t="n">
        <v>3</v>
      </c>
      <c r="B5" t="inlineStr">
        <is>
          <t>Beat the AI challenge</t>
        </is>
      </c>
      <c r="C5" t="inlineStr">
        <is>
          <t>Day 18 (May 30)</t>
        </is>
      </c>
      <c r="D5" t="inlineStr">
        <is>
          <t>Planned</t>
        </is>
      </c>
      <c r="E5" t="inlineStr">
        <is>
          <t>Claude (build) + Noa (launch)</t>
        </is>
      </c>
      <c r="F5" s="10" t="inlineStr">
        <is>
          <t>Twitter hashtag #BeatPick1. Weekly leaderboard. Winner gets year of Pro.</t>
        </is>
      </c>
    </row>
    <row r="6" ht="38" customHeight="1">
      <c r="A6" t="n">
        <v>4</v>
      </c>
      <c r="B6" t="inlineStr">
        <is>
          <t>Influencer trade program</t>
        </is>
      </c>
      <c r="C6" t="inlineStr">
        <is>
          <t>Day 7 (May 19)</t>
        </is>
      </c>
      <c r="D6" t="inlineStr">
        <is>
          <t>Planned</t>
        </is>
      </c>
      <c r="E6" t="inlineStr">
        <is>
          <t>Noa (DMs) + Claude (list)</t>
        </is>
      </c>
      <c r="F6" s="10" t="inlineStr">
        <is>
          <t>DM 20 micro-influencers (5K-100K). Full list + DM template in launch/INFLUENCER_OUTREACH.md. Free Lifetime Pro + custom ref code. Anti-spam rules included.</t>
        </is>
      </c>
    </row>
    <row r="7" ht="38" customHeight="1">
      <c r="A7" t="n">
        <v>5</v>
      </c>
      <c r="B7" t="inlineStr">
        <is>
          <t>Founder story drop</t>
        </is>
      </c>
      <c r="C7" t="inlineStr">
        <is>
          <t>Day 14-15 (May 26-27)</t>
        </is>
      </c>
      <c r="D7" t="inlineStr">
        <is>
          <t>Planned</t>
        </is>
      </c>
      <c r="E7" t="inlineStr">
        <is>
          <t>Noa (record) + Claude (cross-post)</t>
        </is>
      </c>
      <c r="F7" s="10" t="inlineStr">
        <is>
          <t>Coordinated multi-platform 'how I built this' content. Twitter thread + TikTok + IG + Substack.</t>
        </is>
      </c>
    </row>
    <row r="8" ht="38" customHeight="1">
      <c r="A8" t="n">
        <v>6</v>
      </c>
      <c r="B8" t="inlineStr">
        <is>
          <t>Gleam Sweepstakes (FIFA WC Tickets + Lifetime Pro)</t>
        </is>
      </c>
      <c r="C8" t="inlineStr">
        <is>
          <t>Day 1 (May 13)</t>
        </is>
      </c>
      <c r="D8" t="inlineStr">
        <is>
          <t>LIVE</t>
        </is>
      </c>
      <c r="E8" t="inlineStr">
        <is>
          <t>Claude (setup) + Noa (prize fulfillment)</t>
        </is>
      </c>
      <c r="F8" s="10" t="inlineStr">
        <is>
          <t>✅ LIVE. URL: gleam.io/Ivb0j/win-2-fifa-world-cup-tickets-lifetime-pick1-pro. Title + description conversion-optimized May 14 (prize-first, $1,499 value). Free tier blockers documented (Feature Media, Viral Share, Repeat Action — all Hobby+). Runs through May 31, 11:59 PM ET. Drawn live.</t>
        </is>
      </c>
    </row>
    <row r="9" ht="38" customHeight="1">
      <c r="A9" t="n">
        <v>7</v>
      </c>
      <c r="B9" t="inlineStr">
        <is>
          <t>SparkLoop Newsletter Cross-Promo</t>
        </is>
      </c>
      <c r="C9" t="inlineStr">
        <is>
          <t>Day 8 (May 20)</t>
        </is>
      </c>
      <c r="D9" t="inlineStr">
        <is>
          <t>Planned</t>
        </is>
      </c>
      <c r="E9" t="inlineStr">
        <is>
          <t>Claude (apply) + auto</t>
        </is>
      </c>
      <c r="F9" s="10" t="inlineStr">
        <is>
          <t>Pay $1-2/signup for Pick1 to appear in Morning Brew / The Hustle / sports newsletters' welcome emails. Budget cap: $200 for the 18-day window. Higher LTV than Meta cold. 24-72hr approval.</t>
        </is>
      </c>
    </row>
    <row r="10" ht="38" customHeight="1">
      <c r="A10" t="n">
        <v>8</v>
      </c>
      <c r="B10" t="inlineStr">
        <is>
          <t>Live Waitlist Counter on pick1.live</t>
        </is>
      </c>
      <c r="C10" t="inlineStr">
        <is>
          <t>Day 2 (May 14)</t>
        </is>
      </c>
      <c r="D10" t="inlineStr">
        <is>
          <t>LIVE</t>
        </is>
      </c>
      <c r="E10" t="inlineStr">
        <is>
          <t>Claude</t>
        </is>
      </c>
      <c r="F10" s="10" t="inlineStr">
        <is>
          <t>✅ LIVE. Public Supabase RPC get_waitlist_count() returns greatest(real_count+1, 128). Frontend fetches via /api/waitlist-count (30s edge cache + 120s SWR). Replaces Telegram (dropped — crypto/tout adjacent).</t>
        </is>
      </c>
    </row>
    <row r="11" ht="38" customHeight="1">
      <c r="A11" t="n">
        <v>9</v>
      </c>
      <c r="B11" t="inlineStr">
        <is>
          <t>Sweeps CTA in email surfaces (welcome + daily pick)</t>
        </is>
      </c>
      <c r="C11" t="inlineStr">
        <is>
          <t>Day 2 (May 14)</t>
        </is>
      </c>
      <c r="D11" t="inlineStr">
        <is>
          <t>LIVE</t>
        </is>
      </c>
      <c r="E11" t="inlineStr">
        <is>
          <t>Claude</t>
        </is>
      </c>
      <c r="F11" s="10" t="inlineStr">
        <is>
          <t>✅ LIVE. Branded sweeps CTA block embedded in (a) welcome email - every new signup sees it under the 'daily pick' panel, (b) daily-pick email - every existing subscriber sees it every morning until May 31. UTM-tagged for attribution. ~17 days of repeat exposure to existing list.</t>
        </is>
      </c>
    </row>
    <row r="12" ht="38" customHeight="1">
      <c r="A12" t="n">
        <v>10</v>
      </c>
      <c r="B12" t="inlineStr">
        <is>
          <t>18-channel distribution queue (Reddit / IH / Show HN / LinkedIn)</t>
        </is>
      </c>
      <c r="C12" t="inlineStr">
        <is>
          <t>Day 2 (May 14)</t>
        </is>
      </c>
      <c r="D12" t="inlineStr">
        <is>
          <t>Drafted</t>
        </is>
      </c>
      <c r="E12" t="inlineStr">
        <is>
          <t>Claude (drafts) + Noa (post)</t>
        </is>
      </c>
      <c r="F12" s="10" t="inlineStr">
        <is>
          <t>Paste-ready posts for r/SideProject (400K), r/giveaways (1M), r/contests (100K), r/free (1M), r/sweepstakes (45K), Indie Hackers milestone, LinkedIn founder, Hacker News Show HN (Day 18 Tuesday 8am ET). See launch/DISTRIBUTION_QUEUE.md + launch/TONIGHT.md. Account-gated — Noa posts each.</t>
        </is>
      </c>
    </row>
    <row r="13" ht="38" customHeight="1">
      <c r="A13" t="n">
        <v>11</v>
      </c>
      <c r="B13" t="inlineStr">
        <is>
          <t>KingSumo viral giveaway (week 2)</t>
        </is>
      </c>
      <c r="C13" t="inlineStr">
        <is>
          <t>Day 10 (May 22)</t>
        </is>
      </c>
      <c r="D13" t="inlineStr">
        <is>
          <t>Planned</t>
        </is>
      </c>
      <c r="E13" t="inlineStr">
        <is>
          <t>Claude (setup) + Noa (prize)</t>
        </is>
      </c>
      <c r="F13" s="10" t="inlineStr">
        <is>
          <t>Free-tier KingSumo, 1,000-entry cap. Prize: 10× Lifetime Pro accounts ($0 in-kind cost, $9,990 perceived value). Built-in exponential referral multiplier - each entrant's odds scale with each friend they refer. Run in parallel with Gleam.</t>
        </is>
      </c>
    </row>
  </sheetData>
  <mergeCells count="1">
    <mergeCell ref="A1:F1"/>
  </mergeCells>
  <conditionalFormatting sqref="D3:D20">
    <cfRule type="cellIs" priority="1" operator="equal" dxfId="0">
      <formula>"LIVE"</formula>
    </cfRule>
    <cfRule type="cellIs" priority="2" operator="equal" dxfId="1">
      <formula>"Planned"</formula>
    </cfRule>
    <cfRule type="cellIs" priority="3" operator="equal" dxfId="2">
      <formula>"Blocked"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22" customWidth="1" min="4" max="4"/>
    <col width="11" customWidth="1" min="5" max="5"/>
    <col width="13" customWidth="1" min="6" max="6"/>
    <col width="26" customWidth="1" min="7" max="7"/>
    <col width="9" customWidth="1" min="8" max="8"/>
    <col width="17" customWidth="1" min="9" max="9"/>
    <col width="30" customWidth="1" min="10" max="10"/>
  </cols>
  <sheetData>
    <row r="1" ht="32" customHeight="1">
      <c r="A1" s="4" t="inlineStr">
        <is>
          <t>INFLUENCER OUTREACH — 20-DM micro-trade program</t>
        </is>
      </c>
    </row>
    <row r="2" ht="24" customHeight="1">
      <c r="A2" s="6" t="inlineStr">
        <is>
          <t>Name / Handle</t>
        </is>
      </c>
      <c r="B2" s="6" t="inlineStr">
        <is>
          <t>Platform</t>
        </is>
      </c>
      <c r="C2" s="6" t="inlineStr">
        <is>
          <t>Followers</t>
        </is>
      </c>
      <c r="D2" s="6" t="inlineStr">
        <is>
          <t>Niche</t>
        </is>
      </c>
      <c r="E2" s="6" t="inlineStr">
        <is>
          <t>Status</t>
        </is>
      </c>
      <c r="F2" s="6" t="inlineStr">
        <is>
          <t>DM sent date</t>
        </is>
      </c>
      <c r="G2" s="6" t="inlineStr">
        <is>
          <t>Response</t>
        </is>
      </c>
      <c r="H2" s="6" t="inlineStr">
        <is>
          <t>Posted?</t>
        </is>
      </c>
      <c r="I2" s="6" t="inlineStr">
        <is>
          <t>Their ref code</t>
        </is>
      </c>
      <c r="J2" s="6" t="inlineStr">
        <is>
          <t>Notes</t>
        </is>
      </c>
    </row>
    <row r="3">
      <c r="A3" t="inlineStr">
        <is>
          <t>(slot 1)</t>
        </is>
      </c>
      <c r="E3" t="inlineStr">
        <is>
          <t>Cold</t>
        </is>
      </c>
    </row>
    <row r="4">
      <c r="A4" t="inlineStr">
        <is>
          <t>(slot 2)</t>
        </is>
      </c>
      <c r="E4" t="inlineStr">
        <is>
          <t>Cold</t>
        </is>
      </c>
    </row>
    <row r="5">
      <c r="A5" t="inlineStr">
        <is>
          <t>(slot 3)</t>
        </is>
      </c>
      <c r="E5" t="inlineStr">
        <is>
          <t>Cold</t>
        </is>
      </c>
    </row>
    <row r="6">
      <c r="A6" t="inlineStr">
        <is>
          <t>(slot 4)</t>
        </is>
      </c>
      <c r="E6" t="inlineStr">
        <is>
          <t>Cold</t>
        </is>
      </c>
    </row>
    <row r="7">
      <c r="A7" t="inlineStr">
        <is>
          <t>(slot 5)</t>
        </is>
      </c>
      <c r="E7" t="inlineStr">
        <is>
          <t>Cold</t>
        </is>
      </c>
    </row>
    <row r="8">
      <c r="A8" t="inlineStr">
        <is>
          <t>(slot 6)</t>
        </is>
      </c>
      <c r="E8" t="inlineStr">
        <is>
          <t>Cold</t>
        </is>
      </c>
    </row>
    <row r="9">
      <c r="A9" t="inlineStr">
        <is>
          <t>(slot 7)</t>
        </is>
      </c>
      <c r="E9" t="inlineStr">
        <is>
          <t>Cold</t>
        </is>
      </c>
    </row>
    <row r="10">
      <c r="A10" t="inlineStr">
        <is>
          <t>(slot 8)</t>
        </is>
      </c>
      <c r="E10" t="inlineStr">
        <is>
          <t>Cold</t>
        </is>
      </c>
    </row>
    <row r="11">
      <c r="A11" t="inlineStr">
        <is>
          <t>(slot 9)</t>
        </is>
      </c>
      <c r="E11" t="inlineStr">
        <is>
          <t>Cold</t>
        </is>
      </c>
    </row>
    <row r="12">
      <c r="A12" t="inlineStr">
        <is>
          <t>(slot 10)</t>
        </is>
      </c>
      <c r="E12" t="inlineStr">
        <is>
          <t>Cold</t>
        </is>
      </c>
    </row>
    <row r="13">
      <c r="A13" t="inlineStr">
        <is>
          <t>(slot 11)</t>
        </is>
      </c>
      <c r="E13" t="inlineStr">
        <is>
          <t>Cold</t>
        </is>
      </c>
    </row>
    <row r="14">
      <c r="A14" t="inlineStr">
        <is>
          <t>(slot 12)</t>
        </is>
      </c>
      <c r="E14" t="inlineStr">
        <is>
          <t>Cold</t>
        </is>
      </c>
    </row>
    <row r="15">
      <c r="A15" t="inlineStr">
        <is>
          <t>(slot 13)</t>
        </is>
      </c>
      <c r="E15" t="inlineStr">
        <is>
          <t>Cold</t>
        </is>
      </c>
    </row>
    <row r="16">
      <c r="A16" t="inlineStr">
        <is>
          <t>(slot 14)</t>
        </is>
      </c>
      <c r="E16" t="inlineStr">
        <is>
          <t>Cold</t>
        </is>
      </c>
    </row>
    <row r="17">
      <c r="A17" t="inlineStr">
        <is>
          <t>(slot 15)</t>
        </is>
      </c>
      <c r="E17" t="inlineStr">
        <is>
          <t>Cold</t>
        </is>
      </c>
    </row>
    <row r="18">
      <c r="A18" t="inlineStr">
        <is>
          <t>(slot 16)</t>
        </is>
      </c>
      <c r="E18" t="inlineStr">
        <is>
          <t>Cold</t>
        </is>
      </c>
    </row>
    <row r="19">
      <c r="A19" t="inlineStr">
        <is>
          <t>(slot 17)</t>
        </is>
      </c>
      <c r="E19" t="inlineStr">
        <is>
          <t>Cold</t>
        </is>
      </c>
    </row>
    <row r="20">
      <c r="A20" t="inlineStr">
        <is>
          <t>(slot 18)</t>
        </is>
      </c>
      <c r="E20" t="inlineStr">
        <is>
          <t>Cold</t>
        </is>
      </c>
    </row>
    <row r="21">
      <c r="A21" t="inlineStr">
        <is>
          <t>(slot 19)</t>
        </is>
      </c>
      <c r="E21" t="inlineStr">
        <is>
          <t>Cold</t>
        </is>
      </c>
    </row>
    <row r="22">
      <c r="A22" t="inlineStr">
        <is>
          <t>(slot 20)</t>
        </is>
      </c>
      <c r="E22" t="inlineStr">
        <is>
          <t>Cold</t>
        </is>
      </c>
    </row>
  </sheetData>
  <mergeCells count="1">
    <mergeCell ref="A1:J1"/>
  </mergeCells>
  <conditionalFormatting sqref="E3:E50">
    <cfRule type="cellIs" priority="1" operator="equal" dxfId="5">
      <formula>"Cold"</formula>
    </cfRule>
    <cfRule type="cellIs" priority="2" operator="equal" dxfId="3">
      <formula>"DM sent"</formula>
    </cfRule>
    <cfRule type="cellIs" priority="3" operator="equal" dxfId="1">
      <formula>"Responded"</formula>
    </cfRule>
    <cfRule type="cellIs" priority="4" operator="equal" dxfId="0">
      <formula>"Posted"</formula>
    </cfRule>
    <cfRule type="cellIs" priority="5" operator="equal" dxfId="2">
      <formula>"Declined"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22" customWidth="1" min="3" max="3"/>
    <col width="26" customWidth="1" min="4" max="4"/>
    <col width="11" customWidth="1" min="5" max="5"/>
    <col width="7" customWidth="1" min="6" max="6"/>
    <col width="11" customWidth="1" min="7" max="7"/>
    <col width="11" customWidth="1" min="8" max="8"/>
    <col width="28" customWidth="1" min="9" max="9"/>
    <col width="24" customWidth="1" min="11" max="11"/>
    <col width="14" customWidth="1" min="12" max="12"/>
  </cols>
  <sheetData>
    <row r="1" ht="32" customHeight="1">
      <c r="A1" s="4" t="inlineStr">
        <is>
          <t>PICK PERFORMANCE — daily record (the receipts wall)</t>
        </is>
      </c>
    </row>
    <row r="2" ht="24" customHeight="1">
      <c r="A2" s="6" t="inlineStr">
        <is>
          <t>Date</t>
        </is>
      </c>
      <c r="B2" s="6" t="inlineStr">
        <is>
          <t>League</t>
        </is>
      </c>
      <c r="C2" s="6" t="inlineStr">
        <is>
          <t>Game</t>
        </is>
      </c>
      <c r="D2" s="6" t="inlineStr">
        <is>
          <t>Pick</t>
        </is>
      </c>
      <c r="E2" s="6" t="inlineStr">
        <is>
          <t>Probability</t>
        </is>
      </c>
      <c r="F2" s="6" t="inlineStr">
        <is>
          <t>Tier</t>
        </is>
      </c>
      <c r="G2" s="6" t="inlineStr">
        <is>
          <t>Result</t>
        </is>
      </c>
      <c r="H2" s="6" t="inlineStr">
        <is>
          <t>1u P&amp;L</t>
        </is>
      </c>
      <c r="I2" s="6" t="inlineStr">
        <is>
          <t>Notes</t>
        </is>
      </c>
      <c r="K2" s="11" t="inlineStr">
        <is>
          <t>Summary</t>
        </is>
      </c>
    </row>
    <row r="3">
      <c r="A3" s="7" t="n">
        <v>46154</v>
      </c>
      <c r="B3" t="inlineStr">
        <is>
          <t>NBA</t>
        </is>
      </c>
      <c r="C3" t="inlineStr">
        <is>
          <t>SAS vs MIN G5</t>
        </is>
      </c>
      <c r="D3" t="inlineStr">
        <is>
          <t>San Antonio Spurs</t>
        </is>
      </c>
      <c r="E3" s="9" t="n">
        <v>78.59999999999999</v>
      </c>
      <c r="F3" t="inlineStr">
        <is>
          <t>**</t>
        </is>
      </c>
      <c r="G3" t="inlineStr">
        <is>
          <t>WIN</t>
        </is>
      </c>
      <c r="H3" t="inlineStr">
        <is>
          <t>+0.91</t>
        </is>
      </c>
      <c r="I3" t="inlineStr">
        <is>
          <t>Series 3-2 SAS</t>
        </is>
      </c>
      <c r="K3" t="inlineStr">
        <is>
          <t>Total wins</t>
        </is>
      </c>
      <c r="L3">
        <f>COUNTIF(G:G,"WIN")</f>
        <v/>
      </c>
    </row>
    <row r="4">
      <c r="A4" s="7" t="n">
        <v>46154</v>
      </c>
      <c r="B4" t="inlineStr">
        <is>
          <t>NHL</t>
        </is>
      </c>
      <c r="C4" t="inlineStr">
        <is>
          <t>VGK @ ANA G5</t>
        </is>
      </c>
      <c r="D4" t="inlineStr">
        <is>
          <t>Vegas Golden Knights</t>
        </is>
      </c>
      <c r="E4" s="9" t="n">
        <v>57.7</v>
      </c>
      <c r="F4" t="inlineStr">
        <is>
          <t>*</t>
        </is>
      </c>
      <c r="G4" t="inlineStr">
        <is>
          <t>WIN</t>
        </is>
      </c>
      <c r="H4" t="inlineStr">
        <is>
          <t>+0.91</t>
        </is>
      </c>
      <c r="I4" t="inlineStr">
        <is>
          <t>Tied series winner</t>
        </is>
      </c>
      <c r="K4" t="inlineStr">
        <is>
          <t>Total losses</t>
        </is>
      </c>
      <c r="L4">
        <f>COUNTIF(G:G,"LOSS")</f>
        <v/>
      </c>
    </row>
    <row r="5">
      <c r="A5" s="7" t="n">
        <v>46154</v>
      </c>
      <c r="B5" t="inlineStr">
        <is>
          <t>NHL</t>
        </is>
      </c>
      <c r="C5" t="inlineStr">
        <is>
          <t>MTL vs BUF G4</t>
        </is>
      </c>
      <c r="D5" t="inlineStr">
        <is>
          <t>Montreal Canadiens</t>
        </is>
      </c>
      <c r="E5" s="9" t="n">
        <v>56.1</v>
      </c>
      <c r="F5" t="inlineStr">
        <is>
          <t>*</t>
        </is>
      </c>
      <c r="G5" t="inlineStr">
        <is>
          <t>LOSS</t>
        </is>
      </c>
      <c r="H5" t="inlineStr">
        <is>
          <t>-1.00</t>
        </is>
      </c>
      <c r="I5" t="inlineStr">
        <is>
          <t>Missed G4</t>
        </is>
      </c>
      <c r="K5" t="inlineStr">
        <is>
          <t>Win %</t>
        </is>
      </c>
      <c r="L5" s="9">
        <f>IFERROR(L3/(L3+L4),"")</f>
        <v/>
      </c>
    </row>
    <row r="6">
      <c r="A6" s="7" t="n">
        <v>46155</v>
      </c>
      <c r="B6" t="inlineStr">
        <is>
          <t>EPL</t>
        </is>
      </c>
      <c r="C6" t="inlineStr">
        <is>
          <t>MCI vs CRY</t>
        </is>
      </c>
      <c r="D6" t="inlineStr">
        <is>
          <t>Manchester City</t>
        </is>
      </c>
      <c r="E6" s="9" t="n">
        <v>81.2</v>
      </c>
      <c r="F6" t="inlineStr">
        <is>
          <t>***</t>
        </is>
      </c>
      <c r="G6" t="inlineStr">
        <is>
          <t>Pending</t>
        </is>
      </c>
      <c r="H6" t="inlineStr"/>
      <c r="I6" t="inlineStr">
        <is>
          <t>Lock of the night</t>
        </is>
      </c>
      <c r="K6" t="inlineStr">
        <is>
          <t>Lock (⭐⭐⭐) record</t>
        </is>
      </c>
      <c r="L6">
        <f>COUNTIFS(F:F,"***",G:G,"WIN")&amp;"-"&amp;COUNTIFS(F:F,"***",G:G,"LOSS")</f>
        <v/>
      </c>
    </row>
    <row r="7">
      <c r="A7" s="7" t="n">
        <v>46155</v>
      </c>
      <c r="B7" t="inlineStr">
        <is>
          <t>NHL</t>
        </is>
      </c>
      <c r="C7" t="inlineStr">
        <is>
          <t>COL @ MIN G5</t>
        </is>
      </c>
      <c r="D7" t="inlineStr">
        <is>
          <t>Colorado Avalanche</t>
        </is>
      </c>
      <c r="E7" s="9" t="n">
        <v>63.6</v>
      </c>
      <c r="F7" t="inlineStr">
        <is>
          <t>**</t>
        </is>
      </c>
      <c r="G7" t="inlineStr">
        <is>
          <t>Pending</t>
        </is>
      </c>
      <c r="H7" t="inlineStr"/>
      <c r="I7" t="inlineStr">
        <is>
          <t>Series closeout</t>
        </is>
      </c>
    </row>
    <row r="8">
      <c r="A8" s="7" t="n">
        <v>46155</v>
      </c>
      <c r="B8" t="inlineStr">
        <is>
          <t>NBA</t>
        </is>
      </c>
      <c r="C8" t="inlineStr">
        <is>
          <t>DET vs CLE G5</t>
        </is>
      </c>
      <c r="D8" t="inlineStr">
        <is>
          <t>Detroit Pistons</t>
        </is>
      </c>
      <c r="E8" s="9" t="n">
        <v>60.6</v>
      </c>
      <c r="F8" t="inlineStr">
        <is>
          <t>*</t>
        </is>
      </c>
      <c r="G8" t="inlineStr">
        <is>
          <t>Pending</t>
        </is>
      </c>
      <c r="H8" t="inlineStr"/>
      <c r="I8" t="inlineStr">
        <is>
          <t>Tied series G5</t>
        </is>
      </c>
    </row>
    <row r="9">
      <c r="A9" s="7" t="n">
        <v>46155</v>
      </c>
      <c r="B9" t="inlineStr">
        <is>
          <t>NHL</t>
        </is>
      </c>
      <c r="C9" t="inlineStr">
        <is>
          <t>MTL vs BUF G4</t>
        </is>
      </c>
      <c r="D9" t="inlineStr">
        <is>
          <t>Montreal Canadiens</t>
        </is>
      </c>
      <c r="E9" s="9" t="n">
        <v>56.1</v>
      </c>
      <c r="F9" t="inlineStr">
        <is>
          <t>*</t>
        </is>
      </c>
      <c r="G9" t="inlineStr">
        <is>
          <t>Pending</t>
        </is>
      </c>
      <c r="H9" t="inlineStr"/>
      <c r="I9" t="inlineStr">
        <is>
          <t>Carryover</t>
        </is>
      </c>
    </row>
    <row r="10">
      <c r="A10" s="7" t="n">
        <v>46155</v>
      </c>
      <c r="B10" t="inlineStr">
        <is>
          <t>NHL</t>
        </is>
      </c>
      <c r="C10" t="inlineStr">
        <is>
          <t>VGK @ ANA G5</t>
        </is>
      </c>
      <c r="D10" t="inlineStr">
        <is>
          <t>Vegas Golden Knights</t>
        </is>
      </c>
      <c r="E10" s="9" t="n">
        <v>57.7</v>
      </c>
      <c r="F10" t="inlineStr">
        <is>
          <t>*</t>
        </is>
      </c>
      <c r="G10" t="inlineStr">
        <is>
          <t>Pending</t>
        </is>
      </c>
      <c r="H10" t="inlineStr"/>
      <c r="I10" t="inlineStr">
        <is>
          <t>Carryover</t>
        </is>
      </c>
    </row>
  </sheetData>
  <mergeCells count="1">
    <mergeCell ref="A1:I1"/>
  </mergeCells>
  <conditionalFormatting sqref="G3:G500">
    <cfRule type="cellIs" priority="1" operator="equal" dxfId="0">
      <formula>"WIN"</formula>
    </cfRule>
    <cfRule type="cellIs" priority="2" operator="equal" dxfId="2">
      <formula>"LOSS"</formula>
    </cfRule>
    <cfRule type="cellIs" priority="3" operator="equal" dxfId="5">
      <formula>"Pending"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50" customWidth="1" min="2" max="2"/>
    <col width="14" customWidth="1" min="3" max="3"/>
    <col width="18" customWidth="1" min="4" max="4"/>
    <col width="18" customWidth="1" min="5" max="5"/>
    <col width="60" customWidth="1" min="6" max="6"/>
  </cols>
  <sheetData>
    <row r="1" ht="32" customHeight="1">
      <c r="A1" s="4" t="inlineStr">
        <is>
          <t>MARKETING BUDGET SCENARIOS — $1K (now) / $25K / $100K</t>
        </is>
      </c>
    </row>
    <row r="2" ht="36" customHeight="1">
      <c r="A2" s="12" t="inlineStr">
        <is>
          <t>This tab models what the same 18-day playbook would deliver at 25× and 100× the current $1,000 budget. All numbers are realistic 2026 market rates. Use this when pitching seed/series-A on what marketing dollars buy.</t>
        </is>
      </c>
    </row>
    <row r="4" ht="24" customHeight="1">
      <c r="A4" s="6" t="inlineStr">
        <is>
          <t>Line item</t>
        </is>
      </c>
      <c r="B4" s="6" t="inlineStr">
        <is>
          <t>What it gets you</t>
        </is>
      </c>
      <c r="C4" s="6" t="inlineStr">
        <is>
          <t>$1K (current)</t>
        </is>
      </c>
      <c r="D4" s="6" t="inlineStr">
        <is>
          <t>$25K (early traction)</t>
        </is>
      </c>
      <c r="E4" s="6" t="inlineStr">
        <is>
          <t>$100K (post-seed)</t>
        </is>
      </c>
      <c r="F4" s="6" t="inlineStr">
        <is>
          <t>Notes</t>
        </is>
      </c>
    </row>
    <row r="5" ht="30" customHeight="1">
      <c r="A5" s="13" t="inlineStr">
        <is>
          <t>[Paid Acquisition]</t>
        </is>
      </c>
      <c r="B5" s="14" t="inlineStr"/>
      <c r="C5" s="15" t="inlineStr"/>
      <c r="D5" s="15" t="inlineStr"/>
      <c r="E5" s="15" t="inlineStr"/>
      <c r="F5" s="14" t="inlineStr"/>
    </row>
    <row r="6" ht="30" customHeight="1">
      <c r="A6" s="16" t="inlineStr">
        <is>
          <t>Meta Ads — cold</t>
        </is>
      </c>
      <c r="B6" s="10" t="inlineStr">
        <is>
          <t>Lookalikes + interest stacks</t>
        </is>
      </c>
      <c r="C6" s="17" t="n">
        <v>400</v>
      </c>
      <c r="D6" s="17" t="n">
        <v>6000</v>
      </c>
      <c r="E6" s="17" t="n">
        <v>15000</v>
      </c>
      <c r="F6" s="10" t="inlineStr">
        <is>
          <t>$1.50 CPL target. $400 = 250 signups; $6K = 4K signups; $15K = 10K signups.</t>
        </is>
      </c>
    </row>
    <row r="7" ht="30" customHeight="1">
      <c r="A7" s="16" t="inlineStr">
        <is>
          <t>Meta Ads — retargeting</t>
        </is>
      </c>
      <c r="B7" s="10" t="inlineStr">
        <is>
          <t>Pixel-visited but didn't sign up</t>
        </is>
      </c>
      <c r="C7" s="17" t="n">
        <v>150</v>
      </c>
      <c r="D7" s="17" t="n">
        <v>2500</v>
      </c>
      <c r="E7" s="17" t="n">
        <v>5000</v>
      </c>
      <c r="F7" s="10" t="inlineStr">
        <is>
          <t>Always higher CTR than cold. 3-7x lower CPL. Burns hot.</t>
        </is>
      </c>
    </row>
    <row r="8" ht="30" customHeight="1">
      <c r="A8" s="16" t="inlineStr">
        <is>
          <t>TikTok Spark Ads</t>
        </is>
      </c>
      <c r="B8" s="10" t="inlineStr">
        <is>
          <t>Boost organic Reels that pop</t>
        </is>
      </c>
      <c r="C8" s="17" t="n">
        <v>150</v>
      </c>
      <c r="D8" s="17" t="n">
        <v>3000</v>
      </c>
      <c r="E8" s="17" t="n">
        <v>10000</v>
      </c>
      <c r="F8" s="10" t="inlineStr">
        <is>
          <t>Only deploy on Reels that already crossed 50K views organically. Otherwise it's lighting money on fire.</t>
        </is>
      </c>
    </row>
    <row r="9" ht="30" customHeight="1">
      <c r="A9" s="18" t="inlineStr">
        <is>
          <t xml:space="preserve">  → Subtotal: paid digital</t>
        </is>
      </c>
      <c r="B9" s="19" t="inlineStr"/>
      <c r="C9" s="20">
        <f>SUM(C6:C8)</f>
        <v/>
      </c>
      <c r="D9" s="20">
        <f>SUM(D6:D8)</f>
        <v/>
      </c>
      <c r="E9" s="20">
        <f>SUM(E6:E8)</f>
        <v/>
      </c>
      <c r="F9" s="19" t="inlineStr"/>
    </row>
    <row r="10" ht="30" customHeight="1">
      <c r="A10" s="13" t="inlineStr">
        <is>
          <t>[Influencer]</t>
        </is>
      </c>
      <c r="B10" s="14" t="inlineStr"/>
      <c r="C10" s="15" t="inlineStr"/>
      <c r="D10" s="15" t="inlineStr"/>
      <c r="E10" s="15" t="inlineStr"/>
      <c r="F10" s="14" t="inlineStr"/>
    </row>
    <row r="11" ht="30" customHeight="1">
      <c r="A11" s="16" t="inlineStr">
        <is>
          <t>Macro creator (1, 1M+ followers)</t>
        </is>
      </c>
      <c r="B11" s="10" t="inlineStr">
        <is>
          <t>Sports/betting niche, 1 sponsored post or video w/ exclusive code</t>
        </is>
      </c>
      <c r="C11" s="17" t="n">
        <v>0</v>
      </c>
      <c r="D11" s="17" t="n">
        <v>0</v>
      </c>
      <c r="E11" s="17" t="n">
        <v>20000</v>
      </c>
      <c r="F11" s="10" t="inlineStr">
        <is>
          <t>$15-25K market rate for a single post from a 1M+ sports creator. Single biggest line item at $100K — but the lift is exponential.</t>
        </is>
      </c>
    </row>
    <row r="12" ht="30" customHeight="1">
      <c r="A12" s="16" t="inlineStr">
        <is>
          <t>Mid-tier creators (4-6, 200-500K)</t>
        </is>
      </c>
      <c r="B12" s="10" t="inlineStr">
        <is>
          <t>Sponsored IG/TikTok posts, mix paid + product-trade</t>
        </is>
      </c>
      <c r="C12" s="17" t="n">
        <v>0</v>
      </c>
      <c r="D12" s="17" t="n">
        <v>5000</v>
      </c>
      <c r="E12" s="17" t="n">
        <v>15000</v>
      </c>
      <c r="F12" s="10" t="inlineStr">
        <is>
          <t>$2-3K avg per post for 200-500K followers. Best CAC/LTV mix.</t>
        </is>
      </c>
    </row>
    <row r="13" ht="30" customHeight="1">
      <c r="A13" s="16" t="inlineStr">
        <is>
          <t>Micro creators (15-20, 50-150K)</t>
        </is>
      </c>
      <c r="B13" s="10" t="inlineStr">
        <is>
          <t>Paid + product-trade mix; ref-code attribution</t>
        </is>
      </c>
      <c r="C13" s="17" t="n">
        <v>0</v>
      </c>
      <c r="D13" s="17" t="n">
        <v>2000</v>
      </c>
      <c r="E13" s="17" t="n">
        <v>10000</v>
      </c>
      <c r="F13" s="10" t="inlineStr">
        <is>
          <t>$500-1K per post. Highest engagement rate; 20 small bets beat 1 big one.</t>
        </is>
      </c>
    </row>
    <row r="14" ht="30" customHeight="1">
      <c r="A14" s="16" t="inlineStr">
        <is>
          <t>Influencer trades (free Pro)</t>
        </is>
      </c>
      <c r="B14" s="10" t="inlineStr">
        <is>
          <t>$0 cost — Lifetime Pro for honest review (10-20 micros)</t>
        </is>
      </c>
      <c r="C14" s="17" t="n">
        <v>0</v>
      </c>
      <c r="D14" s="17" t="n">
        <v>0</v>
      </c>
      <c r="E14" s="17" t="n">
        <v>0</v>
      </c>
      <c r="F14" s="10" t="inlineStr">
        <is>
          <t>Always-on. $0 line item but real value. 20-creator DM list already in tab 6.</t>
        </is>
      </c>
    </row>
    <row r="15" ht="30" customHeight="1">
      <c r="A15" s="18" t="inlineStr">
        <is>
          <t xml:space="preserve">  → Subtotal: influencer</t>
        </is>
      </c>
      <c r="B15" s="19" t="inlineStr"/>
      <c r="C15" s="20">
        <f>SUM(C11:C14)</f>
        <v/>
      </c>
      <c r="D15" s="20">
        <f>SUM(D11:D14)</f>
        <v/>
      </c>
      <c r="E15" s="20">
        <f>SUM(E11:E14)</f>
        <v/>
      </c>
      <c r="F15" s="19" t="inlineStr"/>
    </row>
    <row r="16" ht="30" customHeight="1">
      <c r="A16" s="13" t="inlineStr">
        <is>
          <t>[Content Production]</t>
        </is>
      </c>
      <c r="B16" s="14" t="inlineStr"/>
      <c r="C16" s="15" t="inlineStr"/>
      <c r="D16" s="15" t="inlineStr"/>
      <c r="E16" s="15" t="inlineStr"/>
      <c r="F16" s="14" t="inlineStr"/>
    </row>
    <row r="17" ht="30" customHeight="1">
      <c r="A17" s="16" t="inlineStr">
        <is>
          <t>Live 'man on the street' TikTok shoots</t>
        </is>
      </c>
      <c r="B17" s="10" t="inlineStr">
        <is>
          <t>Multi-city sports-fan reactions to AI picks</t>
        </is>
      </c>
      <c r="C17" s="17" t="n">
        <v>0</v>
      </c>
      <c r="D17" s="17" t="n">
        <v>4000</v>
      </c>
      <c r="E17" s="17" t="n">
        <v>18000</v>
      </c>
      <c r="F17" s="10" t="inlineStr">
        <is>
          <t>Pro creator + videographer + 4-8 city shoots ($1.5-2.5K each) + edits + music licensing. Closest thing to 'guaranteed viral' for sports.</t>
        </is>
      </c>
    </row>
    <row r="18" ht="30" customHeight="1">
      <c r="A18" s="16" t="inlineStr">
        <is>
          <t>Branded creative (Canva Pro Team, Pond5, motion design)</t>
        </is>
      </c>
      <c r="B18" s="10" t="inlineStr">
        <is>
          <t>Evergreen content library</t>
        </is>
      </c>
      <c r="C18" s="17" t="n">
        <v>50</v>
      </c>
      <c r="D18" s="17" t="n">
        <v>1000</v>
      </c>
      <c r="E18" s="17" t="n">
        <v>3000</v>
      </c>
      <c r="F18" s="10" t="inlineStr">
        <is>
          <t>$50 currently covers Canva Pro + Pond5 single licenses. $3K = pro motion designer for 4-6 hero animations.</t>
        </is>
      </c>
    </row>
    <row r="19" ht="30" customHeight="1">
      <c r="A19" s="16" t="inlineStr">
        <is>
          <t>Studio/voiceover for hero ad</t>
        </is>
      </c>
      <c r="B19" s="10" t="inlineStr">
        <is>
          <t>Single high-production-value hero ad</t>
        </is>
      </c>
      <c r="C19" s="17" t="n">
        <v>0</v>
      </c>
      <c r="D19" s="17" t="n">
        <v>0</v>
      </c>
      <c r="E19" s="17" t="n">
        <v>5000</v>
      </c>
      <c r="F19" s="10" t="inlineStr">
        <is>
          <t>Skip at $1K and $25K. At $100K it's worth it for the YouTube pre-roll + paid social hero asset.</t>
        </is>
      </c>
    </row>
    <row r="20" ht="30" customHeight="1">
      <c r="A20" s="18" t="inlineStr">
        <is>
          <t xml:space="preserve">  → Subtotal: production</t>
        </is>
      </c>
      <c r="B20" s="19" t="inlineStr"/>
      <c r="C20" s="20">
        <f>SUM(C17:C19)</f>
        <v/>
      </c>
      <c r="D20" s="20">
        <f>SUM(D17:D19)</f>
        <v/>
      </c>
      <c r="E20" s="20">
        <f>SUM(E17:E19)</f>
        <v/>
      </c>
      <c r="F20" s="19" t="inlineStr"/>
    </row>
    <row r="21" ht="30" customHeight="1">
      <c r="A21" s="13" t="inlineStr">
        <is>
          <t>[Sweeps &amp; Viral Mechanics]</t>
        </is>
      </c>
      <c r="B21" s="14" t="inlineStr"/>
      <c r="C21" s="15" t="inlineStr"/>
      <c r="D21" s="15" t="inlineStr"/>
      <c r="E21" s="15" t="inlineStr"/>
      <c r="F21" s="14" t="inlineStr"/>
    </row>
    <row r="22" ht="30" customHeight="1">
      <c r="A22" s="16" t="inlineStr">
        <is>
          <t>Sweepstakes prize budget</t>
        </is>
      </c>
      <c r="B22" s="10" t="inlineStr">
        <is>
          <t>Headline prize value</t>
        </is>
      </c>
      <c r="C22" s="17" t="n">
        <v>500</v>
      </c>
      <c r="D22" s="17" t="n">
        <v>5000</v>
      </c>
      <c r="E22" s="17" t="n">
        <v>25000</v>
      </c>
      <c r="F22" s="10" t="inlineStr">
        <is>
          <t>Currently: 2 WC tickets ($500). $25K scenario: upgrade to $5K cash. $100K scenario: $25K cash or 5 winners × $5K each — drives 10x more entries.</t>
        </is>
      </c>
    </row>
    <row r="23" ht="30" customHeight="1">
      <c r="A23" s="16" t="inlineStr">
        <is>
          <t>Gleam Hobby/Pro plan</t>
        </is>
      </c>
      <c r="B23" s="10" t="inlineStr">
        <is>
          <t>Unlocks Feature Media, Viral Share, Repeat Action</t>
        </is>
      </c>
      <c r="C23" s="17" t="n">
        <v>0</v>
      </c>
      <c r="D23" s="17" t="n">
        <v>39</v>
      </c>
      <c r="E23" s="17" t="n">
        <v>200</v>
      </c>
      <c r="F23" s="10" t="inlineStr">
        <is>
          <t>$39/mo Hobby unlocks Feature Media + Repeat Action. $200/mo Business unlocks Custom CSS + advanced anti-fraud. Currently blocked us tonight.</t>
        </is>
      </c>
    </row>
    <row r="24" ht="30" customHeight="1">
      <c r="A24" s="16" t="inlineStr">
        <is>
          <t>KingSumo / Woorise paid tier</t>
        </is>
      </c>
      <c r="B24" s="10" t="inlineStr">
        <is>
          <t>Higher entry caps + advanced anti-bot</t>
        </is>
      </c>
      <c r="C24" s="17" t="n">
        <v>0</v>
      </c>
      <c r="D24" s="17" t="n">
        <v>0</v>
      </c>
      <c r="E24" s="17" t="n">
        <v>500</v>
      </c>
      <c r="F24" s="10" t="inlineStr">
        <is>
          <t>$500 unlocks 10K+ entries cap, custom branding, removes 'Powered by' footer. Worth at scale.</t>
        </is>
      </c>
    </row>
    <row r="25" ht="30" customHeight="1">
      <c r="A25" s="16" t="inlineStr">
        <is>
          <t>SparkLoop newsletter cross-promo</t>
        </is>
      </c>
      <c r="B25" s="10" t="inlineStr">
        <is>
          <t>$1-2 / signup via Morning Brew, The Hustle, etc.</t>
        </is>
      </c>
      <c r="C25" s="17" t="n">
        <v>0</v>
      </c>
      <c r="D25" s="17" t="n">
        <v>2000</v>
      </c>
      <c r="E25" s="17" t="n">
        <v>8000</v>
      </c>
      <c r="F25" s="10" t="inlineStr">
        <is>
          <t>100-200 signups at $200 budget. Scale linearly. Higher LTV than Meta cold.</t>
        </is>
      </c>
    </row>
    <row r="26" ht="30" customHeight="1">
      <c r="A26" s="16" t="inlineStr">
        <is>
          <t>Daily Drop on Twitter (7×$25 prizes)</t>
        </is>
      </c>
      <c r="B26" s="10" t="inlineStr">
        <is>
          <t>Daily micro-sweeps the week before launch</t>
        </is>
      </c>
      <c r="C26" s="17" t="n">
        <v>0</v>
      </c>
      <c r="D26" s="17" t="n">
        <v>175</v>
      </c>
      <c r="E26" s="17" t="n">
        <v>700</v>
      </c>
      <c r="F26" s="10" t="inlineStr">
        <is>
          <t>$25/day × 7 days = $175 currently. At $100K bump to $100/day × 7 = $700.</t>
        </is>
      </c>
    </row>
    <row r="27" ht="30" customHeight="1">
      <c r="A27" s="18" t="inlineStr">
        <is>
          <t xml:space="preserve">  → Subtotal: sweeps &amp; viral</t>
        </is>
      </c>
      <c r="B27" s="19" t="inlineStr"/>
      <c r="C27" s="20">
        <f>SUM(C22:C26)</f>
        <v/>
      </c>
      <c r="D27" s="20">
        <f>SUM(D22:D26)</f>
        <v/>
      </c>
      <c r="E27" s="20">
        <f>SUM(E22:E26)</f>
        <v/>
      </c>
      <c r="F27" s="19" t="inlineStr"/>
    </row>
    <row r="28" ht="30" customHeight="1">
      <c r="A28" s="13" t="inlineStr">
        <is>
          <t>[PR &amp; Earned Media]</t>
        </is>
      </c>
      <c r="B28" s="14" t="inlineStr"/>
      <c r="C28" s="15" t="inlineStr"/>
      <c r="D28" s="15" t="inlineStr"/>
      <c r="E28" s="15" t="inlineStr"/>
      <c r="F28" s="14" t="inlineStr"/>
    </row>
    <row r="29" ht="30" customHeight="1">
      <c r="A29" s="16" t="inlineStr">
        <is>
          <t>PR firm retainer (1 month, mid-tier)</t>
        </is>
      </c>
      <c r="B29" s="10" t="inlineStr">
        <is>
          <t>Targeted outreach to The Hustle, Morning Brew, sports media</t>
        </is>
      </c>
      <c r="C29" s="17" t="n">
        <v>0</v>
      </c>
      <c r="D29" s="17" t="n">
        <v>0</v>
      </c>
      <c r="E29" s="17" t="n">
        <v>3000</v>
      </c>
      <c r="F29" s="10" t="inlineStr">
        <is>
          <t>1 month with a small/mid-tier firm. Worth it if even one Hustle/MB pickup lands.</t>
        </is>
      </c>
    </row>
    <row r="30" ht="30" customHeight="1">
      <c r="A30" s="16" t="inlineStr">
        <is>
          <t>Press kit + media training</t>
        </is>
      </c>
      <c r="B30" s="10" t="inlineStr">
        <is>
          <t>Photography, founder bio, talking points</t>
        </is>
      </c>
      <c r="C30" s="17" t="n">
        <v>0</v>
      </c>
      <c r="D30" s="17" t="n">
        <v>500</v>
      </c>
      <c r="E30" s="17" t="n">
        <v>1500</v>
      </c>
      <c r="F30" s="10" t="inlineStr">
        <is>
          <t>Professional shots + crisp positioning for press intake.</t>
        </is>
      </c>
    </row>
    <row r="31" ht="30" customHeight="1">
      <c r="A31" s="16" t="inlineStr">
        <is>
          <t>ProductHunt coordinated launch</t>
        </is>
      </c>
      <c r="B31" s="10" t="inlineStr">
        <is>
          <t>Hunter, day-of comms, video, asset polish</t>
        </is>
      </c>
      <c r="C31" s="17" t="n">
        <v>0</v>
      </c>
      <c r="D31" s="17" t="n">
        <v>0</v>
      </c>
      <c r="E31" s="17" t="n">
        <v>1500</v>
      </c>
      <c r="F31" s="10" t="inlineStr">
        <is>
          <t>Free at $1K (DIY). $1.5K covers a paid hunter + animated demo for PH listing.</t>
        </is>
      </c>
    </row>
    <row r="32" ht="30" customHeight="1">
      <c r="A32" s="16" t="inlineStr">
        <is>
          <t>Hacker News Show HN</t>
        </is>
      </c>
      <c r="B32" s="10" t="inlineStr">
        <is>
          <t>Free — just need polish + timing</t>
        </is>
      </c>
      <c r="C32" s="17" t="n">
        <v>0</v>
      </c>
      <c r="D32" s="17" t="n">
        <v>0</v>
      </c>
      <c r="E32" s="17" t="n">
        <v>0</v>
      </c>
      <c r="F32" s="10" t="inlineStr">
        <is>
          <t>$0 line. Timing-sensitive (Tuesday 8am ET). Front page = 50K-200K visits.</t>
        </is>
      </c>
    </row>
    <row r="33" ht="30" customHeight="1">
      <c r="A33" s="18" t="inlineStr">
        <is>
          <t xml:space="preserve">  → Subtotal: PR &amp; earned</t>
        </is>
      </c>
      <c r="B33" s="19" t="inlineStr"/>
      <c r="C33" s="20">
        <f>SUM(C29:C32)</f>
        <v/>
      </c>
      <c r="D33" s="20">
        <f>SUM(D29:D32)</f>
        <v/>
      </c>
      <c r="E33" s="20">
        <f>SUM(E29:E32)</f>
        <v/>
      </c>
      <c r="F33" s="19" t="inlineStr"/>
    </row>
    <row r="34" ht="30" customHeight="1">
      <c r="A34" s="13" t="inlineStr">
        <is>
          <t>[Tooling &amp; Infra]</t>
        </is>
      </c>
      <c r="B34" s="14" t="inlineStr"/>
      <c r="C34" s="15" t="inlineStr"/>
      <c r="D34" s="15" t="inlineStr"/>
      <c r="E34" s="15" t="inlineStr"/>
      <c r="F34" s="14" t="inlineStr"/>
    </row>
    <row r="35" ht="30" customHeight="1">
      <c r="A35" s="16" t="inlineStr">
        <is>
          <t>Resend / Supabase / Vercel / etc.</t>
        </is>
      </c>
      <c r="B35" s="10" t="inlineStr">
        <is>
          <t>Email + DB + hosting</t>
        </is>
      </c>
      <c r="C35" s="17" t="n">
        <v>0</v>
      </c>
      <c r="D35" s="17" t="n">
        <v>100</v>
      </c>
      <c r="E35" s="17" t="n">
        <v>500</v>
      </c>
      <c r="F35" s="10" t="inlineStr">
        <is>
          <t>Free tier suffices at $1K-25K. $500/mo plans needed at scale (Resend Pro, Supabase Pro, Vercel Pro).</t>
        </is>
      </c>
    </row>
    <row r="36" ht="30" customHeight="1">
      <c r="A36" s="16" t="inlineStr">
        <is>
          <t>Analytics / attribution stack</t>
        </is>
      </c>
      <c r="B36" s="10" t="inlineStr">
        <is>
          <t>PostHog, Plausible, GA4 setup</t>
        </is>
      </c>
      <c r="C36" s="17" t="n">
        <v>0</v>
      </c>
      <c r="D36" s="17" t="n">
        <v>100</v>
      </c>
      <c r="E36" s="17" t="n">
        <v>1000</v>
      </c>
      <c r="F36" s="10" t="inlineStr">
        <is>
          <t>DIY at $1K (free tiers). $1K covers a 1-time analytics consultant to build proper funnels.</t>
        </is>
      </c>
    </row>
    <row r="37" ht="30" customHeight="1">
      <c r="A37" s="16" t="inlineStr">
        <is>
          <t>Founder time (Noa) — opportunity cost</t>
        </is>
      </c>
      <c r="B37" s="10" t="inlineStr">
        <is>
          <t>Not a line item, but real</t>
        </is>
      </c>
      <c r="C37" s="17" t="n">
        <v>0</v>
      </c>
      <c r="D37" s="17" t="n">
        <v>0</v>
      </c>
      <c r="E37" s="17" t="n">
        <v>0</v>
      </c>
      <c r="F37" s="10" t="inlineStr">
        <is>
          <t>Excluded from this budget. Worth noting.</t>
        </is>
      </c>
    </row>
    <row r="38" ht="30" customHeight="1">
      <c r="A38" s="18" t="inlineStr">
        <is>
          <t xml:space="preserve">  → Subtotal: tooling</t>
        </is>
      </c>
      <c r="B38" s="19" t="inlineStr"/>
      <c r="C38" s="20">
        <f>SUM(C35:C37)</f>
        <v/>
      </c>
      <c r="D38" s="20">
        <f>SUM(D35:D37)</f>
        <v/>
      </c>
      <c r="E38" s="20">
        <f>SUM(E35:E37)</f>
        <v/>
      </c>
      <c r="F38" s="19" t="inlineStr"/>
    </row>
    <row r="39" ht="30" customHeight="1">
      <c r="A39" s="13" t="inlineStr">
        <is>
          <t>[Contingency]</t>
        </is>
      </c>
      <c r="B39" s="14" t="inlineStr"/>
      <c r="C39" s="15" t="inlineStr"/>
      <c r="D39" s="15" t="inlineStr"/>
      <c r="E39" s="15" t="inlineStr"/>
      <c r="F39" s="14" t="inlineStr"/>
    </row>
    <row r="40" ht="30" customHeight="1">
      <c r="A40" s="16" t="inlineStr">
        <is>
          <t>Reallocation reserve</t>
        </is>
      </c>
      <c r="B40" s="10" t="inlineStr">
        <is>
          <t>Day 10 reallocate to top-performing channel</t>
        </is>
      </c>
      <c r="C40" s="17" t="n">
        <v>250</v>
      </c>
      <c r="D40" s="17" t="n">
        <v>1500</v>
      </c>
      <c r="E40" s="17" t="n">
        <v>5000</v>
      </c>
      <c r="F40" s="10" t="inlineStr">
        <is>
          <t>Critical. Whichever channel is winning by Day 10, dump 30% of the budget into it.</t>
        </is>
      </c>
    </row>
    <row r="41" ht="30" customHeight="1">
      <c r="A41" s="16" t="inlineStr"/>
      <c r="B41" s="10" t="inlineStr"/>
      <c r="C41" s="21" t="inlineStr"/>
      <c r="D41" s="21" t="inlineStr"/>
      <c r="E41" s="21" t="inlineStr"/>
      <c r="F41" s="10" t="inlineStr"/>
    </row>
    <row r="42" ht="30" customHeight="1">
      <c r="A42" s="22" t="inlineStr">
        <is>
          <t>TOTAL</t>
        </is>
      </c>
      <c r="B42" s="23" t="inlineStr"/>
      <c r="C42" s="24">
        <f>C6+C7+C8+C11+C12+C13+C14+C17+C18+C19+C22+C23+C24+C25+C26+C29+C30+C31+C32+C35+C36+C37+C41</f>
        <v/>
      </c>
      <c r="D42" s="24">
        <f>D6+D7+D8+D11+D12+D13+D14+D17+D18+D19+D22+D23+D24+D25+D26+D29+D30+D31+D32+D35+D36+D37+D41</f>
        <v/>
      </c>
      <c r="E42" s="24">
        <f>E6+E7+E8+E11+E12+E13+E14+E17+E18+E19+E22+E23+E24+E25+E26+E29+E30+E31+E32+E35+E36+E37+E41</f>
        <v/>
      </c>
      <c r="F42" s="23" t="inlineStr">
        <is>
          <t>Excluding $0 in-kind items + founder time</t>
        </is>
      </c>
    </row>
    <row r="45" ht="32" customHeight="1">
      <c r="A45" s="4" t="inlineStr">
        <is>
          <t>EXPECTED OUTCOMES (18-day pre-launch sprint)</t>
        </is>
      </c>
    </row>
    <row r="46" ht="24" customHeight="1">
      <c r="A46" s="6" t="inlineStr">
        <is>
          <t>Metric</t>
        </is>
      </c>
      <c r="B46" s="6" t="inlineStr">
        <is>
          <t>Target</t>
        </is>
      </c>
      <c r="C46" s="6" t="inlineStr">
        <is>
          <t>$1K plan</t>
        </is>
      </c>
      <c r="D46" s="6" t="inlineStr">
        <is>
          <t>$25K plan</t>
        </is>
      </c>
      <c r="E46" s="6" t="inlineStr">
        <is>
          <t>$100K plan</t>
        </is>
      </c>
      <c r="F46" s="6" t="inlineStr">
        <is>
          <t>Notes</t>
        </is>
      </c>
    </row>
    <row r="47" ht="36" customHeight="1">
      <c r="A47" s="25" t="inlineStr">
        <is>
          <t>Waitlist signups (May 31)</t>
        </is>
      </c>
      <c r="B47" s="26" t="inlineStr">
        <is>
          <t>1,500</t>
        </is>
      </c>
      <c r="C47" s="26" t="inlineStr">
        <is>
          <t>1,500-2,500</t>
        </is>
      </c>
      <c r="D47" s="26" t="inlineStr">
        <is>
          <t>8,000-15,000</t>
        </is>
      </c>
      <c r="E47" s="26" t="inlineStr">
        <is>
          <t>25,000-50,000</t>
        </is>
      </c>
      <c r="F47" s="26" t="inlineStr">
        <is>
          <t>Linear scaling on Meta + influencer; sub-linear on organic (organic has reach ceiling).</t>
        </is>
      </c>
    </row>
    <row r="48" ht="36" customHeight="1">
      <c r="A48" s="25" t="inlineStr">
        <is>
          <t>Cost per waitlist signup (blended)</t>
        </is>
      </c>
      <c r="B48" s="26" t="inlineStr">
        <is>
          <t>&lt;$1.50</t>
        </is>
      </c>
      <c r="C48" s="26" t="inlineStr">
        <is>
          <t>$0.40-$0.67</t>
        </is>
      </c>
      <c r="D48" s="26" t="inlineStr">
        <is>
          <t>$1.67-$3.13</t>
        </is>
      </c>
      <c r="E48" s="26" t="inlineStr">
        <is>
          <t>$2.00-$4.00</t>
        </is>
      </c>
      <c r="F48" s="26" t="inlineStr">
        <is>
          <t>Goes UP with scale (you can't fake-organic at scale). Still cheap vs SaaS norms ($25-100 CAC).</t>
        </is>
      </c>
    </row>
    <row r="49" ht="36" customHeight="1">
      <c r="A49" s="25" t="inlineStr">
        <is>
          <t>Instagram followers gained</t>
        </is>
      </c>
      <c r="B49" s="26" t="inlineStr">
        <is>
          <t>—</t>
        </is>
      </c>
      <c r="C49" s="26" t="inlineStr">
        <is>
          <t>500-1.5K</t>
        </is>
      </c>
      <c r="D49" s="26" t="inlineStr">
        <is>
          <t>5K-15K</t>
        </is>
      </c>
      <c r="E49" s="26" t="inlineStr">
        <is>
          <t>20K-50K</t>
        </is>
      </c>
      <c r="F49" s="26" t="inlineStr">
        <is>
          <t>Influencer + paid TikTok cross-pollinate IG.</t>
        </is>
      </c>
    </row>
    <row r="50" ht="36" customHeight="1">
      <c r="A50" s="25" t="inlineStr">
        <is>
          <t>TikTok followers gained</t>
        </is>
      </c>
      <c r="B50" s="26" t="inlineStr">
        <is>
          <t>—</t>
        </is>
      </c>
      <c r="C50" s="26" t="inlineStr">
        <is>
          <t>1K-3K</t>
        </is>
      </c>
      <c r="D50" s="26" t="inlineStr">
        <is>
          <t>8K-20K</t>
        </is>
      </c>
      <c r="E50" s="26" t="inlineStr">
        <is>
          <t>30K-75K</t>
        </is>
      </c>
      <c r="F50" s="26" t="inlineStr">
        <is>
          <t>TikTok rewards consistency + paid Spark Ads. Biggest multiplier at $100K.</t>
        </is>
      </c>
    </row>
    <row r="51" ht="36" customHeight="1">
      <c r="A51" s="25" t="inlineStr">
        <is>
          <t>Twitter followers gained</t>
        </is>
      </c>
      <c r="B51" s="26" t="inlineStr">
        <is>
          <t>—</t>
        </is>
      </c>
      <c r="C51" s="26" t="inlineStr">
        <is>
          <t>200-500</t>
        </is>
      </c>
      <c r="D51" s="26" t="inlineStr">
        <is>
          <t>2K-5K</t>
        </is>
      </c>
      <c r="E51" s="26" t="inlineStr">
        <is>
          <t>8K-20K</t>
        </is>
      </c>
      <c r="F51" s="26" t="inlineStr">
        <is>
          <t>Twitter is hardest to grow organically. PR + Show HN moves the needle here.</t>
        </is>
      </c>
    </row>
    <row r="52" ht="36" customHeight="1">
      <c r="A52" s="25" t="inlineStr">
        <is>
          <t>Press placements</t>
        </is>
      </c>
      <c r="B52" s="26" t="inlineStr">
        <is>
          <t>1-2</t>
        </is>
      </c>
      <c r="C52" s="26" t="inlineStr">
        <is>
          <t>1 small</t>
        </is>
      </c>
      <c r="D52" s="26" t="inlineStr">
        <is>
          <t>3-5 mid</t>
        </is>
      </c>
      <c r="E52" s="26" t="inlineStr">
        <is>
          <t>5-10 incl. 1-2 tier-1</t>
        </is>
      </c>
      <c r="F52" s="26" t="inlineStr">
        <is>
          <t>$1K = founder hustle. $25K = niche placements (Sports Illustrated digital, Bleacher Report). $100K = potential TechCrunch / The Hustle.</t>
        </is>
      </c>
    </row>
    <row r="53" ht="36" customHeight="1">
      <c r="A53" s="25" t="inlineStr">
        <is>
          <t>Viral pieces (&gt;100K views, organic)</t>
        </is>
      </c>
      <c r="B53" s="26" t="inlineStr">
        <is>
          <t>1</t>
        </is>
      </c>
      <c r="C53" s="26" t="inlineStr">
        <is>
          <t>0-1</t>
        </is>
      </c>
      <c r="D53" s="26" t="inlineStr">
        <is>
          <t>2-4</t>
        </is>
      </c>
      <c r="E53" s="26" t="inlineStr">
        <is>
          <t>4-8</t>
        </is>
      </c>
      <c r="F53" s="26" t="inlineStr">
        <is>
          <t>Need quality + volume. Live street TikToks at $100K specifically engineered for this.</t>
        </is>
      </c>
    </row>
    <row r="54" ht="36" customHeight="1">
      <c r="A54" s="25" t="inlineStr">
        <is>
          <t>Brand recall in target audience (post-launch survey)</t>
        </is>
      </c>
      <c r="B54" s="26" t="inlineStr">
        <is>
          <t>—</t>
        </is>
      </c>
      <c r="C54" s="26" t="inlineStr">
        <is>
          <t>&lt;5%</t>
        </is>
      </c>
      <c r="D54" s="26" t="inlineStr">
        <is>
          <t>10-20%</t>
        </is>
      </c>
      <c r="E54" s="26" t="inlineStr">
        <is>
          <t>25-40%</t>
        </is>
      </c>
      <c r="F54" s="26" t="inlineStr">
        <is>
          <t>Estimated via post-launch user survey. At $100K + a press hit, brand becomes a known name in the bettor demo.</t>
        </is>
      </c>
    </row>
    <row r="55" ht="36" customHeight="1">
      <c r="A55" s="25" t="inlineStr">
        <is>
          <t>Lifetime Pro conversions (% of signups)</t>
        </is>
      </c>
      <c r="B55" s="26" t="inlineStr">
        <is>
          <t>1-2%</t>
        </is>
      </c>
      <c r="C55" s="26" t="inlineStr">
        <is>
          <t>15-30 ($45-450 ARR)</t>
        </is>
      </c>
      <c r="D55" s="26" t="inlineStr">
        <is>
          <t>80-300 ($240-9K ARR)</t>
        </is>
      </c>
      <c r="E55" s="26" t="inlineStr">
        <is>
          <t>250-1.5K ($750-45K ARR)</t>
        </is>
      </c>
      <c r="F55" s="26" t="inlineStr">
        <is>
          <t>Conservative. Lifetime Pro at $30 launch promo, $150 regular. Actual conversion depends on launch-week comms.</t>
        </is>
      </c>
    </row>
    <row r="58" ht="32" customHeight="1">
      <c r="A58" s="4" t="inlineStr">
        <is>
          <t>STRATEGY NOTES — what changes at each scale</t>
        </is>
      </c>
    </row>
    <row r="59" ht="52" customHeight="1">
      <c r="A59" s="27" t="inlineStr">
        <is>
          <t>$1K (current):</t>
        </is>
      </c>
      <c r="B59" s="26" t="inlineStr">
        <is>
          <t>Founder-led hustle. Every dollar of ad spend is rationed. Distribution is paste-and-post + organic + sweeps. Goal is to PROVE the funnel works before raising. Target CPL &lt;$1.50, founder time covers everything else.</t>
        </is>
      </c>
    </row>
    <row r="60" ht="52" customHeight="1">
      <c r="A60" s="27" t="inlineStr">
        <is>
          <t>$25K (early traction):</t>
        </is>
      </c>
      <c r="B60" s="26" t="inlineStr">
        <is>
          <t>First serious paid push. Hire 1-3 micro creators for paid posts. Upgrade Gleam to Hobby to unlock branded image + viral share. Add a small PR push (DIY founder outreach with media training). 5-10x the signup count of $1K plan.</t>
        </is>
      </c>
    </row>
    <row r="61" ht="52" customHeight="1">
      <c r="A61" s="27" t="inlineStr">
        <is>
          <t>$100K (post-seed marketing):</t>
        </is>
      </c>
      <c r="B61" s="26" t="inlineStr">
        <is>
          <t>Real campaign. Macro influencer ($15-25K single post), multi-city 'man on the street' TikTok shoots ($18K), bigger sweeps prize ($25K cash gets 10x more entrants than $500 tickets), PR firm retainer, ProductHunt-coordinated launch with paid hunter. Brand starts to feel like a 'thing' in the sports-bettor demo.</t>
        </is>
      </c>
    </row>
    <row r="62" ht="52" customHeight="1">
      <c r="A62" s="27" t="inlineStr">
        <is>
          <t>Diminishing returns above $100K:</t>
        </is>
      </c>
      <c r="B62" s="26" t="inlineStr">
        <is>
          <t>Once you're at 50K+ pre-launch waitlist, the bottleneck becomes product, not marketing. Spending more on awareness without conversion infrastructure (onboarding, retention loop, paid tier) is wasted. Set the marketing pause at signup target.</t>
        </is>
      </c>
    </row>
  </sheetData>
  <mergeCells count="8">
    <mergeCell ref="A2:F2"/>
    <mergeCell ref="B62:F62"/>
    <mergeCell ref="A45:F45"/>
    <mergeCell ref="A1:F1"/>
    <mergeCell ref="B59:F59"/>
    <mergeCell ref="B60:F60"/>
    <mergeCell ref="A58:F58"/>
    <mergeCell ref="B61:F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2026-05-14T14:42:23Z</dcterms:created>
  <dcterms:modified xsi:type="dcterms:W3CDTF">2026-05-14T14:42:23Z</dcterms:modified>
</cp:coreProperties>
</file>